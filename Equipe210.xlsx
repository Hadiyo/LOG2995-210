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xr:revisionPtr revIDLastSave="178" documentId="11_58A9C1004ADABF42B0C69D68EA1142102AD74FA3" xr6:coauthVersionLast="47" xr6:coauthVersionMax="47" xr10:uidLastSave="{A60D3B80-62FF-4084-A511-FEB5C2A48B70}"/>
  <bookViews>
    <workbookView xWindow="0" yWindow="0" windowWidth="16384" windowHeight="8192" tabRatio="500" firstSheet="2" activeTab="2" xr2:uid="{00000000-000D-0000-FFFF-FFFF00000000}"/>
  </bookViews>
  <sheets>
    <sheet name="Sommaire" sheetId="1" r:id="rId1"/>
    <sheet name="Assurance Qualité" sheetId="2" r:id="rId2"/>
    <sheet name="Fonctionnalités" sheetId="3" r:id="rId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13" i="3" l="1"/>
  <c r="K12" i="3"/>
  <c r="K11" i="3"/>
  <c r="K10" i="3"/>
  <c r="K9" i="3"/>
  <c r="B18" i="3" s="1"/>
  <c r="D48" i="3"/>
  <c r="D33" i="3"/>
  <c r="D18" i="3"/>
  <c r="D47" i="3"/>
  <c r="D46" i="3"/>
  <c r="D45" i="3"/>
  <c r="C43" i="3"/>
  <c r="D42" i="3"/>
  <c r="D41" i="3"/>
  <c r="D40" i="3"/>
  <c r="D39" i="3"/>
  <c r="D38" i="3"/>
  <c r="D37" i="3"/>
  <c r="D43" i="3" s="1"/>
  <c r="D32" i="3"/>
  <c r="D31" i="3"/>
  <c r="D30" i="3"/>
  <c r="C28" i="3"/>
  <c r="D27" i="3"/>
  <c r="D26" i="3"/>
  <c r="D25" i="3"/>
  <c r="D24" i="3"/>
  <c r="D23" i="3"/>
  <c r="D22" i="3"/>
  <c r="D28" i="3" s="1"/>
  <c r="D17" i="3"/>
  <c r="D16" i="3"/>
  <c r="C14" i="3"/>
  <c r="D13" i="3"/>
  <c r="D12" i="3"/>
  <c r="D11" i="3"/>
  <c r="D10" i="3"/>
  <c r="D9" i="3"/>
  <c r="D8" i="3"/>
  <c r="D14" i="3" s="1"/>
  <c r="J56" i="2"/>
  <c r="I56" i="2"/>
  <c r="G56" i="2"/>
  <c r="F56" i="2"/>
  <c r="D56" i="2"/>
  <c r="C56" i="2"/>
  <c r="D49" i="2"/>
  <c r="C49" i="2"/>
  <c r="J48" i="2"/>
  <c r="G48" i="2"/>
  <c r="J47" i="2"/>
  <c r="G47" i="2"/>
  <c r="J46" i="2"/>
  <c r="G46" i="2"/>
  <c r="J45" i="2"/>
  <c r="G45" i="2"/>
  <c r="J44" i="2"/>
  <c r="G44" i="2"/>
  <c r="J43" i="2"/>
  <c r="G43" i="2"/>
  <c r="J42" i="2"/>
  <c r="G42" i="2"/>
  <c r="J41" i="2"/>
  <c r="G41" i="2"/>
  <c r="J40" i="2"/>
  <c r="J49" i="2" s="1"/>
  <c r="G40" i="2"/>
  <c r="G49" i="2" s="1"/>
  <c r="J38" i="2"/>
  <c r="I38" i="2"/>
  <c r="G38" i="2"/>
  <c r="F38" i="2"/>
  <c r="D38" i="2"/>
  <c r="C38" i="2"/>
  <c r="D32" i="2"/>
  <c r="C32" i="2"/>
  <c r="J31" i="2"/>
  <c r="G31" i="2"/>
  <c r="J30" i="2"/>
  <c r="G30" i="2"/>
  <c r="J29" i="2"/>
  <c r="J32" i="2" s="1"/>
  <c r="G29" i="2"/>
  <c r="G32" i="2" s="1"/>
  <c r="J27" i="2"/>
  <c r="I27" i="2"/>
  <c r="G27" i="2"/>
  <c r="F27" i="2"/>
  <c r="D27" i="2"/>
  <c r="C27" i="2"/>
  <c r="J22" i="2"/>
  <c r="I22" i="2"/>
  <c r="G22" i="2"/>
  <c r="F22" i="2"/>
  <c r="D22" i="2"/>
  <c r="C22" i="2"/>
  <c r="D18" i="2"/>
  <c r="C18" i="2"/>
  <c r="G17" i="2"/>
  <c r="J17" i="2" s="1"/>
  <c r="G16" i="2"/>
  <c r="J16" i="2" s="1"/>
  <c r="G15" i="2"/>
  <c r="J15" i="2" s="1"/>
  <c r="G14" i="2"/>
  <c r="J14" i="2" s="1"/>
  <c r="G13" i="2"/>
  <c r="J11" i="2"/>
  <c r="I11" i="2"/>
  <c r="G11" i="2"/>
  <c r="F11" i="2"/>
  <c r="D11" i="2"/>
  <c r="D58" i="2" s="1"/>
  <c r="C11" i="2"/>
  <c r="C58" i="2" s="1"/>
  <c r="C59" i="2" s="1"/>
  <c r="H7" i="1"/>
  <c r="C6" i="1"/>
  <c r="B6" i="1"/>
  <c r="C5" i="1"/>
  <c r="B5" i="1"/>
  <c r="D4" i="1"/>
  <c r="C4" i="1"/>
  <c r="B4" i="1"/>
  <c r="E4" i="1" s="1"/>
  <c r="H4" i="1" s="1"/>
  <c r="G18" i="2" l="1"/>
  <c r="G58" i="2" s="1"/>
  <c r="J13" i="2"/>
  <c r="J18" i="2" s="1"/>
  <c r="J58" i="2" s="1"/>
  <c r="I49" i="2"/>
  <c r="F49" i="2"/>
  <c r="I32" i="2"/>
  <c r="F32" i="2"/>
  <c r="I18" i="2"/>
  <c r="F18" i="2"/>
  <c r="I58" i="2"/>
  <c r="I59" i="2"/>
  <c r="F58" i="2"/>
  <c r="F59" i="2"/>
  <c r="D6" i="1"/>
  <c r="E6" i="1"/>
  <c r="H6" i="1"/>
  <c r="D5" i="1"/>
  <c r="E5" i="1"/>
  <c r="H5" i="1"/>
</calcChain>
</file>

<file path=xl/sharedStrings.xml><?xml version="1.0" encoding="utf-8"?>
<sst xmlns="http://schemas.openxmlformats.org/spreadsheetml/2006/main" count="250" uniqueCount="151">
  <si>
    <t>Fonctionnalités</t>
  </si>
  <si>
    <t>Validation
Logicielle</t>
  </si>
  <si>
    <t>Assurance
Qualité</t>
  </si>
  <si>
    <t>Total</t>
  </si>
  <si>
    <t>Heures de retard
(-10%)/heure</t>
  </si>
  <si>
    <t>Poids</t>
  </si>
  <si>
    <t>Note pondérée</t>
  </si>
  <si>
    <t>Sprint 1</t>
  </si>
  <si>
    <t>Sprint 2</t>
  </si>
  <si>
    <t>Sprint 3</t>
  </si>
  <si>
    <t>UX</t>
  </si>
  <si>
    <t>Grille de correction LOG2990</t>
  </si>
  <si>
    <t>Assurance Qualité</t>
  </si>
  <si>
    <t>Critère</t>
  </si>
  <si>
    <t>Description</t>
  </si>
  <si>
    <t>Note</t>
  </si>
  <si>
    <t>Commentaires</t>
  </si>
  <si>
    <t>1. Projet</t>
  </si>
  <si>
    <t>Correcteur</t>
  </si>
  <si>
    <t>Enrique</t>
  </si>
  <si>
    <t>1.1 Utilisation des Cadriciels</t>
  </si>
  <si>
    <t>Le projet respecte les meilleures pratiques des cadriciels utilisés. (Exemple: séparation des responsabilités dans les Components et Services d'Angular, syntaxe moderne d’Angular, respect de la sémantique HTTP avec Express, etc.)</t>
  </si>
  <si>
    <t>-0.25 ne manipulez pas le DOM directement, passez par des fonctionnalites Angular. Ex:  getComputedStyle(document.documentElement).getPropertyValue(`--avatar-${i}`).trim()
-0.2 definition des types et dinterfaces dans des components?
-0.1 mettez des codes d'erreur http dans certaines situations</t>
  </si>
  <si>
    <t>1.2 Arborescence</t>
  </si>
  <si>
    <t>Le projet respecte une arborescence de fichiers claire, uniforme et structurée.
Les noms de fichiers et dossiers respectent le format kebab-case.</t>
  </si>
  <si>
    <t>-0.25 regroupez les .spec et .ts des services, classes, etc dans des dossiers svp
-0.25 character-generator n'est pas un service mais il est dans le dossier services
 un dossier constantes et de type dans le dossier services</t>
  </si>
  <si>
    <t>Sous-total</t>
  </si>
  <si>
    <t>2. Classe</t>
  </si>
  <si>
    <t>Maxime</t>
  </si>
  <si>
    <t>2.1 Responsabilité</t>
  </si>
  <si>
    <t>La classe n'a qu'une responsabilité claire.</t>
  </si>
  <si>
    <t>-0,2 [editor-state.service] `cols` n'est pas utilisé</t>
  </si>
  <si>
    <t>2.2 Attributs</t>
  </si>
  <si>
    <t>La classe comporte uniquement des attributs utilisés.
La classe comporte uniquement des attributs qui sont des états de la classe.
La classe ne comporte pas d'attribut utilisé seulement dans les tests.</t>
  </si>
  <si>
    <t>-0,2 [editor-topbar.component] `modeOptions` n'est pas utilisé
-0,2 [editor-topbar.component] `sizeOptions` n'est pas utilisé
-0,2 [main-page.component] `title` n'est pas utilisé
-0,2 [editor-state.service] `cols` n'est pas utilisé
-0,2 [editor-state.service] `rows` n'est pas utilisé</t>
  </si>
  <si>
    <t>2.3 Accessibilité</t>
  </si>
  <si>
    <t>La classe minimise l'accessibilité des membres. (Bonne utilisation de public/private/protected pour les attributs et les fonctions)
Les méthodes get/set font une validation quelconque sur les attributs privés.</t>
  </si>
  <si>
    <t>-0,2 [back-button.component] `link` — modificateur d'accès absent
-0,2 [create-map-dialog.component] `sizeOptions` — modificateur d'accès absent
-0,2 [editor-canvas.component] `onShiftDown` — modificateur d'accès absent
-0,2 [editor-sidebar.component] `gameMode` — modificateur d'accès absent
-0,2 [editor-tile.component] `index` — modificateur d'accès absent
etc ...</t>
  </si>
  <si>
    <t>2.4 Couplage</t>
  </si>
  <si>
    <t>La classe minimise le couplage aux autres classes.
La classe minimise les longues chaînes d'appels (ex : foo.bar.baz.foo)</t>
  </si>
  <si>
    <t>2.5 Valeur par défaut</t>
  </si>
  <si>
    <t>La classe initialise tous ses attributs de la même façon.
Soit à la définition, soit dans le constructeur.</t>
  </si>
  <si>
    <t>3. Fonctions et méthodes</t>
  </si>
  <si>
    <t>3.1 Utilité</t>
  </si>
  <si>
    <t>La fonction est utilie et non-triviale.
La fonction a une responsabilité claire.
La fonction n'a pas une longueur trop grande.</t>
  </si>
  <si>
    <t>3.2 Paramètres</t>
  </si>
  <si>
    <t>La fonction possède le moins de paramètres possibles en entrée.
La fonction possède uniquement des paramètres d'entrée qui sont utilisés.</t>
  </si>
  <si>
    <t>-0,25 les fonctions avec x,y ou row, column ou r, c comme params devraient avoir moins de params surout parce que on fournit une interface Vec ou vous pouvez creer la votre Position</t>
  </si>
  <si>
    <t>4. Gestion des ressources et erreurs</t>
  </si>
  <si>
    <t>4.1 Console</t>
  </si>
  <si>
    <t>La console ne génère pas de message d'avertissement (warning) ou d'erreur (error) qui aurait pu être gérés par le programme.</t>
  </si>
  <si>
    <t>4.2 Code asynchrone</t>
  </si>
  <si>
    <t>Le code asynchrone (Promise, Observable, Event) est géré adéquatement.</t>
  </si>
  <si>
    <t>4.3 Messages d'erreur</t>
  </si>
  <si>
    <t>Les messages d'erreur sont précis et compréhensibles par l'utilisateur moyen.</t>
  </si>
  <si>
    <t>5. Variables et constantes</t>
  </si>
  <si>
    <t>5.1 Groupement</t>
  </si>
  <si>
    <t>Les constantes sont regroupées ensemble en groupes logiques.</t>
  </si>
  <si>
    <t>MODE_OPTIONS, DEFAULT_PLUS_TWO, DEFAULT_D6_TARGET, PIXEL_SIZE, PREVIEW_QUALITY, PREVIEW_FORMAT, FALLBACK_FORMAT. Faites un dossier constantes.</t>
  </si>
  <si>
    <t>5.2 Environnement</t>
  </si>
  <si>
    <t>Des variables d'environnements sont utilisées lorsque possible.</t>
  </si>
  <si>
    <t>5.3 Contexte d'utilisation</t>
  </si>
  <si>
    <t>La constante est utilisé dans un contexte lié à la logique d'affaire. (Exemple d'erreur: const DEUX = 2,  bonne utilisation: WAIT_TIME = 5000 )</t>
  </si>
  <si>
    <t>6. Expressions booléennes</t>
  </si>
  <si>
    <t>6.1 Expression</t>
  </si>
  <si>
    <t>Pas de comparaisons inutiles dans une expression booléenne. (Exemple d'erreur: x === true)</t>
  </si>
  <si>
    <t>-0,25 [map-thumbnail.service] comparaison redondante — ligne 292
         if (cached !== undefined) return cached;
-0,25 [map-validation] comparaison redondante — ligne 85
         if (left === undefined || right === undefined || up === undefined || down === undefined) {
-0,25 [map.service] comparaison redondante — ligne 126
         ...(cell.tileType === TileType.DOOR ? { doorOpen: cell.isWalkable === true } : {}),
-0,25 [map.service] comparaison redondante — ligne 187
         if (tileType === TileType.DOOR) return doorOpen === true;</t>
  </si>
  <si>
    <t>6.2 Logique négative</t>
  </si>
  <si>
    <t>L'expression booléenne évite la logique négative. (Exemple d'erreur:  if( !notFound(…) )</t>
  </si>
  <si>
    <t>6.3 Ternaire</t>
  </si>
  <si>
    <t>Bonne utilisation des expressions ternaires.
Pas d'imbrications de ternaires qui nuisent à la compréhension de l'expression booléenne</t>
  </si>
  <si>
    <t>-0,2 [editor-state.service:307] if-else remplacable par un operateur ternaire
         if (cell.tileType === TileType.DOOR) {</t>
  </si>
  <si>
    <t>6.4 Prédicats</t>
  </si>
  <si>
    <t>L'expression booléenne est simple. (Exemple d'erreur : if(a &amp;&amp; b &amp;&amp; !c || d)
L'expression booléenne utilise un ou des prédicats pour simplifier une condition complexe.</t>
  </si>
  <si>
    <t>7. Qualité générale</t>
  </si>
  <si>
    <t>Hamza</t>
  </si>
  <si>
    <t>7.1 Langue</t>
  </si>
  <si>
    <t>La langue utilisée pour le code source est uniforme pour tout le code source.
La langue utilisée pour les commentaires doit être uniforme, mais peut être différente que la langue du code source.</t>
  </si>
  <si>
    <t xml:space="preserve">Erreurs :
-0.25 : CHARACTER_BASE_ATTRIBUTES variables en francais alors que le code est en anglais
-0.25 : attaqueDie -&gt; attaque en francais
-0.25 : Commentaire en francais dans waiting-room
</t>
  </si>
  <si>
    <t>7.2 Commentaire</t>
  </si>
  <si>
    <t>Le commentaire est pertinent. (Pas de code mort commenté)</t>
  </si>
  <si>
    <t>Erreurs :
-1 : Commentaires non pertinents qui rendent le code illisible
-0.25 : Code mort commenté editor-state 71</t>
  </si>
  <si>
    <t>7.3 Enum</t>
  </si>
  <si>
    <t>Le code utilise des enum lorsque c'est pertinent.</t>
  </si>
  <si>
    <t xml:space="preserve">Erreurs :
-0.2 : app-button variant
</t>
  </si>
  <si>
    <t>7.4 Classe et interface</t>
  </si>
  <si>
    <t>Le code n'utilise pas d'objets anonymes JS et priorise les classes et les interfaces.</t>
  </si>
  <si>
    <t>Erreurs :
-0.2 : Objet anonyme create-map-dialog ligne
-0.2 : sizeOptions dans editor-topbar
-0.2 : modeOptions dans editor-topbar
-0.2 : actions dans main-page, array d'objets anonymes
-0.2 : CreateEmptyMap prends en param un objet anonyme sans type
etc ...</t>
  </si>
  <si>
    <t>7.5 Duplication</t>
  </si>
  <si>
    <t>Il n'y a pas de duplication de code.</t>
  </si>
  <si>
    <t>Erreurs :
-0.2 : Code dupliqué editor-topbar et create-map-dialog, modeoptions présent 2 fois, labels anglais et francais melangé
-0.2 : Code dupliqué encore dans game-card, modeLabels ressemble encore étrangement à modeoptions</t>
  </si>
  <si>
    <t>7.6 ESLint</t>
  </si>
  <si>
    <t>Il n'y a pas de "eslint:disable" non justifiés dans le code.
L'utilisation limitée de eslint:disable est tolérée dans les fichiers de test (.spec.ts). (Exemple : nombres magiques)</t>
  </si>
  <si>
    <t>Erreurs :
-0.25 : eslint-disable pas nécessaire dans character-creation-component:156</t>
  </si>
  <si>
    <t>7.7 Complexité</t>
  </si>
  <si>
    <t>Le code minimise la complexité cyclomatique. (Exemple : plusieurs if/else ou boucles for imbriqués, opérations complexes, etc.)</t>
  </si>
  <si>
    <t>7.7 Nomenclature des variables, classes et méthodes</t>
  </si>
  <si>
    <t>Les noms des variables, classes et méthodes sont précis et clairs.
Les noms respectent un format unique:  camelCase pour les variables et méthodes, SCREAMING_SNAKE_CASE pour les constantes, etc .
Les noms ne sont pas troncés excessivement. (Exemple: utiliser background au lieu de seulement bg).</t>
  </si>
  <si>
    <t>Erreurs :
-0.2 : Variable nommée ok dans admin-page:75
-0.2 : Variable occ dans editor-placement-rules, que veut dire occ
-0.2 : Dans vos fonctions flechées, utilisez des noms de variables significatifs au lieu de 'm', 'o'... 
-0.2 : const p dans map-thumbnail-service, return p</t>
  </si>
  <si>
    <t>7.8 Performance</t>
  </si>
  <si>
    <t>Le logiciel a une performance acceptable.</t>
  </si>
  <si>
    <t>8. Gestion de versions</t>
  </si>
  <si>
    <t>8.1 Tag et remise</t>
  </si>
  <si>
    <t>Le commit de remise possède le bon tag. (sprint1, sprint2, sprint3)</t>
  </si>
  <si>
    <t>8.2 Commits</t>
  </si>
  <si>
    <t>Les commits ont un message pertinent, descriptif et structuré selon une convention quelconque.</t>
  </si>
  <si>
    <t>Erreurs :
-0.1 : c91f180e
-0.1 : d3476281
-0.1 : 500a6056
-0.1 : f07b68d7
-0.1 : 864ec1d8, etc
-0.1 : 470efbae, b3dc34e5, 33ca98d2, 9e83659f en français, mais je vous pénalise moins parceque c'est le début du projet</t>
  </si>
  <si>
    <t>8.3 Branches mortes</t>
  </si>
  <si>
    <t xml:space="preserve">Le projet ne contient pas de branches mortes (stale branch). Une branche est considérée comme morte si elle n'a pas de commit pendant plus de 3 semaines. </t>
  </si>
  <si>
    <t>8.4 Gitlab</t>
  </si>
  <si>
    <t>Des Merge Requests sont utilisées pour fusionner vers la branche de production.
Une Merge Request est revue par au moins un membre de l'équipe avant la fusion.
Les Issues sont mis à jour tout au long du projet.</t>
  </si>
  <si>
    <t>8.5 Fichiers</t>
  </si>
  <si>
    <t>Le projet contient uniquement les fichiers nécessaires. (Exemple: pas de dossier node_modules ou coverage, pas de fichiers package.json à la racine, etc.).</t>
  </si>
  <si>
    <t>Total QA sprint</t>
  </si>
  <si>
    <t>Note QA sprint</t>
  </si>
  <si>
    <t>Grille de correction LOG2995 - Hiver 2026</t>
  </si>
  <si>
    <t>Validation logicielle</t>
  </si>
  <si>
    <t>Fonctionnalité</t>
  </si>
  <si>
    <t>Note finale</t>
  </si>
  <si>
    <t>Vue initiale</t>
  </si>
  <si>
    <t>Vue d'administration</t>
  </si>
  <si>
    <t>Stratégie de test</t>
  </si>
  <si>
    <t>Enregistrement et gestion des jeux (validation logicielle)</t>
  </si>
  <si>
    <t>Explication des cas limites</t>
  </si>
  <si>
    <t>Vue d'édition</t>
  </si>
  <si>
    <t>Voir une description on hover sur les objets placés dans la grille: Non
Drapeau alors que mode normal</t>
  </si>
  <si>
    <t>Cas limites</t>
  </si>
  <si>
    <t>Création ou édition d'un jeu</t>
  </si>
  <si>
    <t>On peut placer un point de départ sur une porte ouverte.
Sanctuaire peut bloquer des tuiles</t>
  </si>
  <si>
    <t>Qualité des tests</t>
  </si>
  <si>
    <t>Vue de création d'une partie</t>
  </si>
  <si>
    <t>Note finale pour le sprint</t>
  </si>
  <si>
    <t>Pénalités</t>
  </si>
  <si>
    <t>Crash</t>
  </si>
  <si>
    <t>Erreur de build ou de tests</t>
  </si>
  <si>
    <t>Validation Logicielle</t>
  </si>
  <si>
    <t>Bravo !</t>
  </si>
  <si>
    <t>Vue d'attente</t>
  </si>
  <si>
    <t>Joindre une partie (validation logicielle)</t>
  </si>
  <si>
    <t>Vue de jeu</t>
  </si>
  <si>
    <t>Partie classique - déplacement et tours</t>
  </si>
  <si>
    <t>Mode de débogage</t>
  </si>
  <si>
    <t>Clavardage</t>
  </si>
  <si>
    <t>Erreur de build ou de tests / déploiement erroné</t>
  </si>
  <si>
    <t>Anciennes fonctionnalités brisées</t>
  </si>
  <si>
    <t>Partie classique - combat et actions (validation logicielle)</t>
  </si>
  <si>
    <t>Éditeur avancé</t>
  </si>
  <si>
    <t>Joueurs virtuels</t>
  </si>
  <si>
    <t>Partie en mode CTF</t>
  </si>
  <si>
    <t>Journal de jeu</t>
  </si>
  <si>
    <t>Statistiques de fin de partie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</si>
</sst>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rgb="FF000000"/>
      <name val="Calibri"/>
      <family val="2"/>
      <charset val="1"/>
    </font>
    <font>
      <sz val="11"/>
      <color rgb="FF000000"/>
      <name val="Calibri"/>
      <charset val="1"/>
    </font>
    <font>
      <b/>
      <sz val="11"/>
      <color rgb="FF3F3F3F"/>
      <name val="Calibri"/>
      <charset val="1"/>
    </font>
    <font>
      <b/>
      <sz val="14"/>
      <color rgb="FF000000"/>
      <name val="Calibri"/>
      <family val="2"/>
      <charset val="1"/>
    </font>
    <font>
      <b/>
      <sz val="14"/>
      <color rgb="FFFFFFFF"/>
      <name val="Calibri"/>
      <family val="2"/>
      <charset val="1"/>
    </font>
    <font>
      <sz val="14"/>
      <color rgb="FF000000"/>
      <name val="Calibri"/>
      <family val="2"/>
      <charset val="1"/>
    </font>
    <font>
      <b/>
      <sz val="12"/>
      <color rgb="FF000000"/>
      <name val="Calibri"/>
      <family val="2"/>
      <charset val="1"/>
    </font>
    <font>
      <b/>
      <sz val="16"/>
      <color rgb="FF000000"/>
      <name val="Calibri"/>
      <family val="2"/>
      <charset val="1"/>
    </font>
    <font>
      <b/>
      <sz val="14"/>
      <color rgb="FF000000"/>
      <name val="Calibri"/>
      <charset val="1"/>
    </font>
    <font>
      <b/>
      <sz val="18"/>
      <color rgb="FF000000"/>
      <name val="Calibri"/>
      <charset val="1"/>
    </font>
    <font>
      <b/>
      <sz val="11"/>
      <color rgb="FF000000"/>
      <name val="Calibri"/>
      <charset val="1"/>
    </font>
    <font>
      <sz val="11"/>
      <color rgb="FF000000"/>
      <name val="Calibri"/>
      <family val="2"/>
      <charset val="1"/>
    </font>
    <font>
      <b/>
      <sz val="11"/>
      <color rgb="FF000000"/>
      <name val="Calibri"/>
      <family val="2"/>
      <charset val="1"/>
    </font>
  </fonts>
  <fills count="19">
    <fill>
      <patternFill patternType="none"/>
    </fill>
    <fill>
      <patternFill patternType="gray125"/>
    </fill>
    <fill>
      <patternFill patternType="solid">
        <fgColor rgb="FFF2F2F2"/>
        <bgColor rgb="FFEDEDED"/>
      </patternFill>
    </fill>
    <fill>
      <patternFill patternType="solid">
        <fgColor rgb="FFB4C7E7"/>
        <bgColor rgb="FFB4C6E7"/>
      </patternFill>
    </fill>
    <fill>
      <patternFill patternType="solid">
        <fgColor rgb="FFF8CBAD"/>
        <bgColor rgb="FFFFE699"/>
      </patternFill>
    </fill>
    <fill>
      <patternFill patternType="solid">
        <fgColor rgb="FFDBDBDB"/>
        <bgColor rgb="FFDAE3F3"/>
      </patternFill>
    </fill>
    <fill>
      <patternFill patternType="solid">
        <fgColor rgb="FFE7E6E6"/>
        <bgColor rgb="FFEDEDED"/>
      </patternFill>
    </fill>
    <fill>
      <patternFill patternType="solid">
        <fgColor rgb="FFE2EFDA"/>
        <bgColor rgb="FFE2F0D9"/>
      </patternFill>
    </fill>
    <fill>
      <patternFill patternType="solid">
        <fgColor rgb="FFFFF2CC"/>
        <bgColor rgb="FFF2F2F2"/>
      </patternFill>
    </fill>
    <fill>
      <patternFill patternType="solid">
        <fgColor rgb="FFB4C6E7"/>
        <bgColor rgb="FFB4C7E7"/>
      </patternFill>
    </fill>
    <fill>
      <patternFill patternType="solid">
        <fgColor rgb="FFFFC000"/>
        <bgColor rgb="FFFF9900"/>
      </patternFill>
    </fill>
    <fill>
      <patternFill patternType="solid">
        <fgColor rgb="FFE2F0D9"/>
        <bgColor rgb="FFE2EFDA"/>
      </patternFill>
    </fill>
    <fill>
      <patternFill patternType="solid">
        <fgColor rgb="FFDEEBF7"/>
        <bgColor rgb="FFDAE3F3"/>
      </patternFill>
    </fill>
    <fill>
      <patternFill patternType="solid">
        <fgColor rgb="FFEDEDED"/>
        <bgColor rgb="FFF2F2F2"/>
      </patternFill>
    </fill>
    <fill>
      <patternFill patternType="solid">
        <fgColor rgb="FFC9C9C9"/>
        <bgColor rgb="FFB4C7E7"/>
      </patternFill>
    </fill>
    <fill>
      <patternFill patternType="solid">
        <fgColor rgb="FFDAE3F3"/>
        <bgColor rgb="FFDEEBF7"/>
      </patternFill>
    </fill>
    <fill>
      <patternFill patternType="solid">
        <fgColor rgb="FFC5E0B4"/>
        <bgColor rgb="FFDBDBDB"/>
      </patternFill>
    </fill>
    <fill>
      <patternFill patternType="solid">
        <fgColor rgb="FFFFE699"/>
        <bgColor rgb="FFFFF2CC"/>
      </patternFill>
    </fill>
    <fill>
      <patternFill patternType="solid">
        <fgColor rgb="FFBDD7EE"/>
        <bgColor rgb="FFB4C7E7"/>
      </patternFill>
    </fill>
  </fills>
  <borders count="43">
    <border>
      <left/>
      <right/>
      <top/>
      <bottom/>
      <diagonal/>
    </border>
    <border>
      <left style="thin">
        <color rgb="FF3F3F3F"/>
      </left>
      <right style="thin">
        <color rgb="FF3F3F3F"/>
      </right>
      <top style="thin">
        <color rgb="FF3F3F3F"/>
      </top>
      <bottom style="thin">
        <color rgb="FF3F3F3F"/>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thin">
        <color auto="1"/>
      </top>
      <bottom style="thin">
        <color auto="1"/>
      </bottom>
      <diagonal/>
    </border>
    <border>
      <left style="thin">
        <color auto="1"/>
      </left>
      <right/>
      <top style="thin">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style="medium">
        <color auto="1"/>
      </right>
      <top/>
      <bottom/>
      <diagonal/>
    </border>
    <border>
      <left style="medium">
        <color auto="1"/>
      </left>
      <right style="medium">
        <color auto="1"/>
      </right>
      <top/>
      <bottom style="medium">
        <color auto="1"/>
      </bottom>
      <diagonal/>
    </border>
  </borders>
  <cellStyleXfs count="6">
    <xf numFmtId="0" fontId="0" fillId="0" borderId="0"/>
    <xf numFmtId="9" fontId="11" fillId="0" borderId="0" applyBorder="0" applyProtection="0"/>
    <xf numFmtId="0" fontId="2" fillId="2" borderId="1" applyProtection="0"/>
    <xf numFmtId="0" fontId="1" fillId="3" borderId="0" applyBorder="0" applyProtection="0"/>
    <xf numFmtId="0" fontId="1" fillId="4" borderId="0" applyBorder="0" applyProtection="0"/>
    <xf numFmtId="0" fontId="1" fillId="5" borderId="0" applyBorder="0" applyProtection="0"/>
  </cellStyleXfs>
  <cellXfs count="271">
    <xf numFmtId="0" fontId="0" fillId="0" borderId="0" xfId="0"/>
    <xf numFmtId="0" fontId="5" fillId="13" borderId="6" xfId="0" applyFont="1" applyFill="1" applyBorder="1" applyAlignment="1">
      <alignment horizontal="left" vertical="center" wrapText="1"/>
    </xf>
    <xf numFmtId="0" fontId="0" fillId="0" borderId="0" xfId="0" applyAlignment="1">
      <alignment horizontal="center" vertical="center"/>
    </xf>
    <xf numFmtId="0" fontId="3" fillId="0" borderId="0" xfId="0" applyFont="1" applyAlignment="1">
      <alignment horizontal="left" vertical="center" wrapText="1"/>
    </xf>
    <xf numFmtId="0" fontId="1" fillId="6" borderId="2" xfId="2" applyFont="1" applyFill="1" applyBorder="1" applyAlignment="1" applyProtection="1">
      <alignment horizontal="center" vertical="center"/>
    </xf>
    <xf numFmtId="0" fontId="1" fillId="6" borderId="2" xfId="2" applyFont="1" applyFill="1" applyBorder="1" applyAlignment="1" applyProtection="1">
      <alignment horizontal="center" vertical="center" wrapText="1"/>
    </xf>
    <xf numFmtId="0" fontId="1" fillId="6" borderId="2" xfId="0" applyFont="1" applyFill="1" applyBorder="1" applyAlignment="1">
      <alignment horizontal="center"/>
    </xf>
    <xf numFmtId="0" fontId="1" fillId="6" borderId="2" xfId="0" applyFont="1" applyFill="1" applyBorder="1"/>
    <xf numFmtId="0" fontId="1" fillId="7" borderId="3" xfId="3" applyFill="1" applyBorder="1" applyAlignment="1" applyProtection="1">
      <alignment horizontal="center" vertical="center"/>
    </xf>
    <xf numFmtId="10" fontId="1" fillId="7" borderId="3" xfId="3" applyNumberFormat="1" applyFill="1" applyBorder="1" applyAlignment="1" applyProtection="1">
      <alignment horizontal="center" vertical="center"/>
    </xf>
    <xf numFmtId="0" fontId="0" fillId="7" borderId="3" xfId="0" applyFill="1" applyBorder="1"/>
    <xf numFmtId="1" fontId="0" fillId="7" borderId="3" xfId="0" applyNumberFormat="1" applyFill="1" applyBorder="1" applyAlignment="1">
      <alignment horizontal="center"/>
    </xf>
    <xf numFmtId="2" fontId="0" fillId="7" borderId="3" xfId="0" applyNumberFormat="1" applyFill="1" applyBorder="1" applyAlignment="1">
      <alignment horizontal="center"/>
    </xf>
    <xf numFmtId="0" fontId="1" fillId="8" borderId="3" xfId="4" applyFill="1" applyBorder="1" applyAlignment="1" applyProtection="1">
      <alignment horizontal="center" vertical="center"/>
    </xf>
    <xf numFmtId="10" fontId="1" fillId="8" borderId="3" xfId="4" applyNumberFormat="1" applyFill="1" applyBorder="1" applyAlignment="1" applyProtection="1">
      <alignment horizontal="center" vertical="center"/>
    </xf>
    <xf numFmtId="0" fontId="0" fillId="8" borderId="3" xfId="0" applyFill="1" applyBorder="1"/>
    <xf numFmtId="1" fontId="0" fillId="8" borderId="3" xfId="0" applyNumberFormat="1" applyFill="1" applyBorder="1" applyAlignment="1">
      <alignment horizontal="center"/>
    </xf>
    <xf numFmtId="2" fontId="0" fillId="8" borderId="3" xfId="0" applyNumberFormat="1" applyFill="1" applyBorder="1" applyAlignment="1">
      <alignment horizontal="center"/>
    </xf>
    <xf numFmtId="0" fontId="1" fillId="9" borderId="3" xfId="5" applyFill="1" applyBorder="1" applyAlignment="1" applyProtection="1">
      <alignment horizontal="center" vertical="center"/>
    </xf>
    <xf numFmtId="10" fontId="1" fillId="9" borderId="3" xfId="5" applyNumberFormat="1" applyFill="1" applyBorder="1" applyAlignment="1" applyProtection="1">
      <alignment horizontal="center" vertical="center"/>
    </xf>
    <xf numFmtId="0" fontId="0" fillId="9" borderId="3" xfId="0" applyFill="1" applyBorder="1"/>
    <xf numFmtId="1" fontId="0" fillId="9" borderId="3" xfId="0" applyNumberFormat="1" applyFill="1" applyBorder="1" applyAlignment="1">
      <alignment horizontal="center"/>
    </xf>
    <xf numFmtId="2" fontId="0" fillId="9" borderId="3" xfId="0" applyNumberFormat="1" applyFill="1" applyBorder="1" applyAlignment="1">
      <alignment horizontal="center"/>
    </xf>
    <xf numFmtId="0" fontId="0" fillId="10" borderId="3" xfId="0" applyFill="1" applyBorder="1" applyAlignment="1">
      <alignment horizontal="center"/>
    </xf>
    <xf numFmtId="10" fontId="0" fillId="10" borderId="3" xfId="0" applyNumberFormat="1" applyFill="1" applyBorder="1" applyAlignment="1">
      <alignment horizontal="center"/>
    </xf>
    <xf numFmtId="0" fontId="0" fillId="10" borderId="3" xfId="0" applyFill="1" applyBorder="1"/>
    <xf numFmtId="2" fontId="0" fillId="10" borderId="3" xfId="0" applyNumberFormat="1" applyFill="1" applyBorder="1" applyAlignment="1">
      <alignment horizontal="center"/>
    </xf>
    <xf numFmtId="0" fontId="0" fillId="0" borderId="0" xfId="0" applyAlignment="1">
      <alignment wrapText="1"/>
    </xf>
    <xf numFmtId="0" fontId="0" fillId="0" borderId="0" xfId="0" applyAlignment="1">
      <alignment horizontal="left" wrapText="1"/>
    </xf>
    <xf numFmtId="0" fontId="3" fillId="0" borderId="0" xfId="0" applyFont="1" applyAlignment="1">
      <alignment vertical="center"/>
    </xf>
    <xf numFmtId="0" fontId="3" fillId="0" borderId="0" xfId="0" applyFont="1" applyAlignment="1">
      <alignment vertical="center" wrapText="1"/>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3" fillId="11" borderId="10" xfId="0" applyFont="1" applyFill="1" applyBorder="1" applyAlignment="1">
      <alignment horizontal="center" vertical="center" wrapText="1"/>
    </xf>
    <xf numFmtId="0" fontId="3" fillId="11" borderId="11" xfId="0" applyFont="1" applyFill="1" applyBorder="1" applyAlignment="1">
      <alignment horizontal="center" vertical="center" wrapText="1"/>
    </xf>
    <xf numFmtId="0" fontId="3" fillId="11" borderId="12" xfId="0" applyFont="1" applyFill="1" applyBorder="1" applyAlignment="1">
      <alignment horizontal="left" vertical="center" wrapText="1"/>
    </xf>
    <xf numFmtId="0" fontId="3" fillId="8" borderId="10" xfId="0" applyFont="1" applyFill="1" applyBorder="1" applyAlignment="1">
      <alignment horizontal="center" vertical="center" wrapText="1"/>
    </xf>
    <xf numFmtId="0" fontId="3" fillId="8" borderId="11"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3" fillId="12" borderId="10" xfId="0" applyFont="1" applyFill="1" applyBorder="1" applyAlignment="1">
      <alignment horizontal="center" vertical="center" wrapText="1"/>
    </xf>
    <xf numFmtId="0" fontId="3" fillId="12" borderId="11" xfId="0" applyFont="1" applyFill="1" applyBorder="1" applyAlignment="1">
      <alignment horizontal="center" vertical="center" wrapText="1"/>
    </xf>
    <xf numFmtId="0" fontId="3" fillId="12" borderId="13" xfId="0" applyFont="1" applyFill="1" applyBorder="1" applyAlignment="1">
      <alignment horizontal="left" vertical="center" wrapText="1"/>
    </xf>
    <xf numFmtId="0" fontId="0" fillId="13" borderId="14" xfId="0" applyFill="1" applyBorder="1" applyAlignment="1">
      <alignment vertical="center" wrapText="1"/>
    </xf>
    <xf numFmtId="49" fontId="0" fillId="0" borderId="15" xfId="0" applyNumberFormat="1" applyBorder="1" applyAlignment="1">
      <alignment horizontal="left" vertical="center" wrapText="1"/>
    </xf>
    <xf numFmtId="0" fontId="0" fillId="11" borderId="16" xfId="0" applyFill="1" applyBorder="1" applyAlignment="1">
      <alignment horizontal="center" vertical="center" wrapText="1"/>
    </xf>
    <xf numFmtId="0" fontId="0" fillId="11" borderId="17" xfId="0" applyFill="1" applyBorder="1" applyAlignment="1">
      <alignment horizontal="center" vertical="center" wrapText="1"/>
    </xf>
    <xf numFmtId="0" fontId="0" fillId="11" borderId="17" xfId="0" applyFill="1" applyBorder="1" applyAlignment="1">
      <alignment horizontal="left" vertical="center" wrapText="1"/>
    </xf>
    <xf numFmtId="0" fontId="0" fillId="8" borderId="16" xfId="0" applyFill="1" applyBorder="1" applyAlignment="1">
      <alignment horizontal="center" vertical="center" wrapText="1"/>
    </xf>
    <xf numFmtId="0" fontId="0" fillId="8" borderId="17" xfId="0" applyFill="1" applyBorder="1" applyAlignment="1">
      <alignment horizontal="center" vertical="center" wrapText="1"/>
    </xf>
    <xf numFmtId="0" fontId="0" fillId="8" borderId="17" xfId="0" applyFill="1" applyBorder="1" applyAlignment="1">
      <alignment horizontal="left" vertical="center" wrapText="1"/>
    </xf>
    <xf numFmtId="0" fontId="0" fillId="12" borderId="16" xfId="0" applyFill="1" applyBorder="1" applyAlignment="1">
      <alignment horizontal="center" vertical="center" wrapText="1"/>
    </xf>
    <xf numFmtId="0" fontId="0" fillId="12" borderId="17" xfId="0" applyFill="1" applyBorder="1" applyAlignment="1">
      <alignment horizontal="center" vertical="center" wrapText="1"/>
    </xf>
    <xf numFmtId="0" fontId="0" fillId="12" borderId="18" xfId="0" applyFill="1" applyBorder="1" applyAlignment="1">
      <alignment horizontal="left" vertical="center" wrapText="1"/>
    </xf>
    <xf numFmtId="49" fontId="0" fillId="0" borderId="19" xfId="0" applyNumberFormat="1" applyBorder="1" applyAlignment="1">
      <alignment horizontal="left" vertical="center" wrapText="1"/>
    </xf>
    <xf numFmtId="0" fontId="6" fillId="11" borderId="21" xfId="0" applyFont="1" applyFill="1" applyBorder="1" applyAlignment="1">
      <alignment horizontal="center" vertical="center" wrapText="1"/>
    </xf>
    <xf numFmtId="0" fontId="6" fillId="11" borderId="22" xfId="0" applyFont="1" applyFill="1" applyBorder="1" applyAlignment="1">
      <alignment horizontal="center" vertical="center" wrapText="1"/>
    </xf>
    <xf numFmtId="0" fontId="6" fillId="11" borderId="23" xfId="0" applyFont="1" applyFill="1" applyBorder="1" applyAlignment="1">
      <alignment horizontal="left" vertical="center" wrapText="1"/>
    </xf>
    <xf numFmtId="0" fontId="6" fillId="8" borderId="21" xfId="0" applyFont="1" applyFill="1" applyBorder="1" applyAlignment="1">
      <alignment horizontal="center" vertical="center" wrapText="1"/>
    </xf>
    <xf numFmtId="0" fontId="6" fillId="8" borderId="22" xfId="0" applyFont="1" applyFill="1" applyBorder="1" applyAlignment="1">
      <alignment horizontal="center" vertical="center" wrapText="1"/>
    </xf>
    <xf numFmtId="0" fontId="6" fillId="8" borderId="23" xfId="0" applyFont="1" applyFill="1" applyBorder="1" applyAlignment="1">
      <alignment horizontal="left" vertical="center" wrapText="1"/>
    </xf>
    <xf numFmtId="0" fontId="6" fillId="12" borderId="21" xfId="0" applyFont="1" applyFill="1" applyBorder="1" applyAlignment="1">
      <alignment horizontal="center" vertical="center" wrapText="1"/>
    </xf>
    <xf numFmtId="0" fontId="6" fillId="12" borderId="22" xfId="0" applyFont="1" applyFill="1" applyBorder="1" applyAlignment="1">
      <alignment horizontal="center" vertical="center" wrapText="1"/>
    </xf>
    <xf numFmtId="0" fontId="6" fillId="12" borderId="23" xfId="0" applyFont="1" applyFill="1" applyBorder="1" applyAlignment="1">
      <alignment horizontal="left" vertical="center" wrapText="1"/>
    </xf>
    <xf numFmtId="0" fontId="6" fillId="0" borderId="0" xfId="0" applyFont="1" applyAlignment="1">
      <alignment horizontal="center" vertical="center" wrapText="1"/>
    </xf>
    <xf numFmtId="0" fontId="6" fillId="0" borderId="0" xfId="0" applyFont="1"/>
    <xf numFmtId="0" fontId="5" fillId="0" borderId="0" xfId="0" applyFont="1"/>
    <xf numFmtId="0" fontId="0" fillId="11" borderId="24" xfId="0" applyFill="1" applyBorder="1" applyAlignment="1">
      <alignment horizontal="center" vertical="center" wrapText="1"/>
    </xf>
    <xf numFmtId="0" fontId="0" fillId="11" borderId="15" xfId="0" applyFill="1" applyBorder="1" applyAlignment="1">
      <alignment horizontal="center" vertical="center" wrapText="1"/>
    </xf>
    <xf numFmtId="0" fontId="0" fillId="11" borderId="25" xfId="0" applyFill="1" applyBorder="1" applyAlignment="1">
      <alignment horizontal="left" vertical="center" wrapText="1"/>
    </xf>
    <xf numFmtId="0" fontId="0" fillId="8" borderId="24" xfId="0" applyFill="1" applyBorder="1" applyAlignment="1">
      <alignment horizontal="center" vertical="center" wrapText="1"/>
    </xf>
    <xf numFmtId="0" fontId="0" fillId="8" borderId="15" xfId="0" applyFill="1" applyBorder="1" applyAlignment="1">
      <alignment horizontal="center" vertical="center" wrapText="1"/>
    </xf>
    <xf numFmtId="0" fontId="0" fillId="8" borderId="25" xfId="0" applyFill="1" applyBorder="1" applyAlignment="1">
      <alignment horizontal="left" vertical="center" wrapText="1"/>
    </xf>
    <xf numFmtId="0" fontId="0" fillId="12" borderId="24" xfId="0" applyFill="1" applyBorder="1" applyAlignment="1">
      <alignment horizontal="center" vertical="center" wrapText="1"/>
    </xf>
    <xf numFmtId="0" fontId="0" fillId="12" borderId="15" xfId="0" applyFill="1" applyBorder="1" applyAlignment="1">
      <alignment horizontal="center" vertical="center" wrapText="1"/>
    </xf>
    <xf numFmtId="0" fontId="0" fillId="12" borderId="25" xfId="0" applyFill="1" applyBorder="1" applyAlignment="1">
      <alignment horizontal="left" vertical="center" wrapText="1"/>
    </xf>
    <xf numFmtId="0" fontId="0" fillId="0" borderId="0" xfId="0" applyAlignment="1">
      <alignment horizontal="center" vertical="center" wrapText="1"/>
    </xf>
    <xf numFmtId="0" fontId="0" fillId="11" borderId="26" xfId="0" applyFill="1" applyBorder="1" applyAlignment="1">
      <alignment horizontal="center" vertical="center" wrapText="1"/>
    </xf>
    <xf numFmtId="0" fontId="0" fillId="11" borderId="19" xfId="0" applyFill="1" applyBorder="1" applyAlignment="1">
      <alignment horizontal="center" vertical="center" wrapText="1"/>
    </xf>
    <xf numFmtId="0" fontId="0" fillId="11" borderId="27" xfId="0" applyFill="1" applyBorder="1" applyAlignment="1">
      <alignment horizontal="left" vertical="center" wrapText="1"/>
    </xf>
    <xf numFmtId="0" fontId="0" fillId="8" borderId="26" xfId="0" applyFill="1" applyBorder="1" applyAlignment="1">
      <alignment horizontal="center" vertical="center" wrapText="1"/>
    </xf>
    <xf numFmtId="0" fontId="0" fillId="8" borderId="27" xfId="0" applyFill="1" applyBorder="1" applyAlignment="1">
      <alignment horizontal="left" vertical="center" wrapText="1"/>
    </xf>
    <xf numFmtId="0" fontId="0" fillId="12" borderId="26" xfId="0" applyFill="1" applyBorder="1" applyAlignment="1">
      <alignment horizontal="center" vertical="center" wrapText="1"/>
    </xf>
    <xf numFmtId="0" fontId="0" fillId="12" borderId="27" xfId="0" applyFill="1" applyBorder="1" applyAlignment="1">
      <alignment horizontal="left" vertical="center" wrapText="1"/>
    </xf>
    <xf numFmtId="0" fontId="0" fillId="8" borderId="19" xfId="0" applyFill="1" applyBorder="1" applyAlignment="1">
      <alignment horizontal="center" vertical="center" wrapText="1"/>
    </xf>
    <xf numFmtId="0" fontId="0" fillId="12" borderId="19" xfId="0" applyFill="1" applyBorder="1" applyAlignment="1">
      <alignment horizontal="center" vertical="center" wrapText="1"/>
    </xf>
    <xf numFmtId="0" fontId="6" fillId="11" borderId="28" xfId="0" applyFont="1" applyFill="1" applyBorder="1" applyAlignment="1">
      <alignment horizontal="center" vertical="center" wrapText="1"/>
    </xf>
    <xf numFmtId="0" fontId="6" fillId="11" borderId="29" xfId="0" applyFont="1" applyFill="1" applyBorder="1" applyAlignment="1">
      <alignment horizontal="center" vertical="center" wrapText="1"/>
    </xf>
    <xf numFmtId="0" fontId="6" fillId="11" borderId="30" xfId="0" applyFont="1" applyFill="1" applyBorder="1" applyAlignment="1">
      <alignment horizontal="left" vertical="center" wrapText="1"/>
    </xf>
    <xf numFmtId="0" fontId="6" fillId="8" borderId="28" xfId="0" applyFont="1" applyFill="1" applyBorder="1" applyAlignment="1">
      <alignment horizontal="center" vertical="center" wrapText="1"/>
    </xf>
    <xf numFmtId="0" fontId="6" fillId="8" borderId="29" xfId="0" applyFont="1" applyFill="1" applyBorder="1" applyAlignment="1">
      <alignment horizontal="center" vertical="center" wrapText="1"/>
    </xf>
    <xf numFmtId="0" fontId="6" fillId="8" borderId="30" xfId="0" applyFont="1" applyFill="1" applyBorder="1" applyAlignment="1">
      <alignment horizontal="left" vertical="center" wrapText="1"/>
    </xf>
    <xf numFmtId="0" fontId="6" fillId="12" borderId="28" xfId="0" applyFont="1" applyFill="1" applyBorder="1" applyAlignment="1">
      <alignment horizontal="center" vertical="center" wrapText="1"/>
    </xf>
    <xf numFmtId="0" fontId="6" fillId="12" borderId="29" xfId="0" applyFont="1" applyFill="1" applyBorder="1" applyAlignment="1">
      <alignment horizontal="center" vertical="center" wrapText="1"/>
    </xf>
    <xf numFmtId="0" fontId="6" fillId="12" borderId="30" xfId="0" applyFont="1" applyFill="1" applyBorder="1" applyAlignment="1">
      <alignment horizontal="left" vertical="center" wrapText="1"/>
    </xf>
    <xf numFmtId="0" fontId="5" fillId="13" borderId="6" xfId="0" applyFont="1" applyFill="1" applyBorder="1" applyAlignment="1">
      <alignment vertical="center"/>
    </xf>
    <xf numFmtId="49" fontId="0" fillId="0" borderId="31" xfId="0" applyNumberFormat="1" applyBorder="1" applyAlignment="1">
      <alignment horizontal="left" vertical="center" wrapText="1"/>
    </xf>
    <xf numFmtId="0" fontId="0" fillId="11" borderId="8" xfId="0" applyFill="1" applyBorder="1" applyAlignment="1">
      <alignment horizontal="center" vertical="center" wrapText="1"/>
    </xf>
    <xf numFmtId="0" fontId="0" fillId="11" borderId="31" xfId="0" applyFill="1" applyBorder="1" applyAlignment="1">
      <alignment horizontal="center" vertical="center" wrapText="1"/>
    </xf>
    <xf numFmtId="0" fontId="0" fillId="11" borderId="32" xfId="0" applyFill="1" applyBorder="1" applyAlignment="1">
      <alignment horizontal="left" vertical="center" wrapText="1"/>
    </xf>
    <xf numFmtId="0" fontId="0" fillId="8" borderId="8" xfId="0" applyFill="1" applyBorder="1" applyAlignment="1">
      <alignment horizontal="center" vertical="center" wrapText="1"/>
    </xf>
    <xf numFmtId="0" fontId="0" fillId="8" borderId="31" xfId="0" applyFill="1" applyBorder="1" applyAlignment="1">
      <alignment horizontal="center" vertical="center" wrapText="1"/>
    </xf>
    <xf numFmtId="0" fontId="0" fillId="8" borderId="32" xfId="0" applyFill="1" applyBorder="1" applyAlignment="1">
      <alignment horizontal="left" vertical="center" wrapText="1"/>
    </xf>
    <xf numFmtId="0" fontId="0" fillId="12" borderId="8" xfId="0" applyFill="1" applyBorder="1" applyAlignment="1">
      <alignment horizontal="center" vertical="center" wrapText="1"/>
    </xf>
    <xf numFmtId="0" fontId="0" fillId="12" borderId="31" xfId="0" applyFill="1" applyBorder="1" applyAlignment="1">
      <alignment horizontal="center" vertical="center" wrapText="1"/>
    </xf>
    <xf numFmtId="0" fontId="0" fillId="12" borderId="32" xfId="0" applyFill="1" applyBorder="1" applyAlignment="1">
      <alignment horizontal="left" vertical="center" wrapText="1"/>
    </xf>
    <xf numFmtId="0" fontId="0" fillId="13" borderId="6" xfId="0" applyFill="1" applyBorder="1" applyAlignment="1">
      <alignment vertical="center" wrapText="1"/>
    </xf>
    <xf numFmtId="0" fontId="7" fillId="0" borderId="0" xfId="0" applyFont="1"/>
    <xf numFmtId="49" fontId="0" fillId="0" borderId="15" xfId="0" applyNumberFormat="1" applyBorder="1" applyAlignment="1">
      <alignment vertical="center" wrapText="1"/>
    </xf>
    <xf numFmtId="0" fontId="0" fillId="8" borderId="15" xfId="0" applyFill="1" applyBorder="1" applyAlignment="1">
      <alignment horizontal="left" vertical="center" wrapText="1"/>
    </xf>
    <xf numFmtId="49" fontId="0" fillId="0" borderId="19" xfId="0" applyNumberFormat="1" applyBorder="1" applyAlignment="1">
      <alignment vertical="center" wrapText="1"/>
    </xf>
    <xf numFmtId="0" fontId="0" fillId="8" borderId="19" xfId="0" applyFill="1" applyBorder="1" applyAlignment="1">
      <alignment horizontal="left" vertical="center" wrapText="1"/>
    </xf>
    <xf numFmtId="0" fontId="6" fillId="8" borderId="22" xfId="0" applyFont="1" applyFill="1" applyBorder="1" applyAlignment="1">
      <alignment horizontal="left" vertical="center" wrapText="1"/>
    </xf>
    <xf numFmtId="0" fontId="0" fillId="13" borderId="5" xfId="0" applyFill="1" applyBorder="1" applyAlignment="1">
      <alignment vertical="center"/>
    </xf>
    <xf numFmtId="0" fontId="3" fillId="0" borderId="0" xfId="0" applyFont="1"/>
    <xf numFmtId="49" fontId="6" fillId="11" borderId="21" xfId="0" applyNumberFormat="1" applyFont="1" applyFill="1" applyBorder="1" applyAlignment="1">
      <alignment horizontal="center" vertical="center" wrapText="1"/>
    </xf>
    <xf numFmtId="49" fontId="6" fillId="8" borderId="21" xfId="0" applyNumberFormat="1" applyFont="1" applyFill="1" applyBorder="1" applyAlignment="1">
      <alignment horizontal="center" vertical="center" wrapText="1"/>
    </xf>
    <xf numFmtId="49" fontId="0" fillId="0" borderId="34" xfId="0" applyNumberFormat="1" applyBorder="1" applyAlignment="1">
      <alignment horizontal="left" vertical="center" wrapText="1"/>
    </xf>
    <xf numFmtId="49" fontId="6" fillId="11" borderId="28" xfId="0" applyNumberFormat="1" applyFont="1" applyFill="1" applyBorder="1" applyAlignment="1">
      <alignment horizontal="center" vertical="center" wrapText="1"/>
    </xf>
    <xf numFmtId="49" fontId="0" fillId="0" borderId="0" xfId="0" applyNumberFormat="1" applyAlignment="1">
      <alignment horizontal="center" vertical="center" wrapText="1"/>
    </xf>
    <xf numFmtId="49" fontId="0" fillId="11" borderId="8" xfId="0" applyNumberFormat="1" applyFill="1" applyBorder="1" applyAlignment="1">
      <alignment horizontal="center" vertical="center" wrapText="1"/>
    </xf>
    <xf numFmtId="49" fontId="0" fillId="8" borderId="8" xfId="0" applyNumberFormat="1" applyFill="1" applyBorder="1" applyAlignment="1">
      <alignment horizontal="center" vertical="center" wrapText="1"/>
    </xf>
    <xf numFmtId="0" fontId="0" fillId="15" borderId="8" xfId="0" applyFill="1" applyBorder="1" applyAlignment="1">
      <alignment horizontal="center" vertical="center" wrapText="1"/>
    </xf>
    <xf numFmtId="0" fontId="0" fillId="15" borderId="31" xfId="0" applyFill="1" applyBorder="1" applyAlignment="1">
      <alignment horizontal="center" vertical="center" wrapText="1"/>
    </xf>
    <xf numFmtId="0" fontId="0" fillId="15" borderId="32" xfId="0" applyFill="1" applyBorder="1" applyAlignment="1">
      <alignment horizontal="left" vertical="center" wrapText="1"/>
    </xf>
    <xf numFmtId="9" fontId="6" fillId="0" borderId="0" xfId="1" applyFont="1" applyBorder="1" applyAlignment="1" applyProtection="1">
      <alignment vertical="center" wrapText="1"/>
    </xf>
    <xf numFmtId="0" fontId="0" fillId="0" borderId="0" xfId="0" applyAlignment="1">
      <alignment horizontal="left"/>
    </xf>
    <xf numFmtId="0" fontId="0" fillId="0" borderId="0" xfId="0" applyAlignment="1">
      <alignment horizontal="left" vertical="center"/>
    </xf>
    <xf numFmtId="2" fontId="0" fillId="0" borderId="0" xfId="0" applyNumberFormat="1" applyAlignment="1">
      <alignment horizontal="left" vertical="center"/>
    </xf>
    <xf numFmtId="0" fontId="8" fillId="0" borderId="0" xfId="0" applyFont="1" applyAlignment="1">
      <alignment horizontal="left" vertical="center"/>
    </xf>
    <xf numFmtId="0" fontId="10" fillId="16" borderId="36" xfId="0" applyFont="1" applyFill="1" applyBorder="1" applyAlignment="1">
      <alignment horizontal="left" vertical="center" wrapText="1"/>
    </xf>
    <xf numFmtId="0" fontId="10" fillId="16" borderId="3" xfId="0" applyFont="1" applyFill="1" applyBorder="1" applyAlignment="1">
      <alignment horizontal="left" vertical="center"/>
    </xf>
    <xf numFmtId="0" fontId="10" fillId="16" borderId="37" xfId="0" applyFont="1" applyFill="1" applyBorder="1" applyAlignment="1">
      <alignment horizontal="left" vertical="center"/>
    </xf>
    <xf numFmtId="0" fontId="1" fillId="11" borderId="26" xfId="0" applyFont="1" applyFill="1" applyBorder="1" applyAlignment="1">
      <alignment horizontal="left" vertical="center"/>
    </xf>
    <xf numFmtId="0" fontId="1" fillId="11" borderId="19" xfId="0" applyFont="1" applyFill="1" applyBorder="1" applyAlignment="1">
      <alignment horizontal="left" vertical="center"/>
    </xf>
    <xf numFmtId="0" fontId="1" fillId="11" borderId="27" xfId="0" applyFont="1" applyFill="1" applyBorder="1" applyAlignment="1">
      <alignment horizontal="left" vertical="center"/>
    </xf>
    <xf numFmtId="0" fontId="1" fillId="16" borderId="26" xfId="0" applyFont="1" applyFill="1" applyBorder="1" applyAlignment="1">
      <alignment horizontal="left" vertical="center"/>
    </xf>
    <xf numFmtId="0" fontId="1" fillId="16" borderId="19" xfId="0" applyFont="1" applyFill="1" applyBorder="1" applyAlignment="1">
      <alignment horizontal="left" vertical="center"/>
    </xf>
    <xf numFmtId="0" fontId="1" fillId="16" borderId="27" xfId="0" applyFont="1" applyFill="1" applyBorder="1" applyAlignment="1">
      <alignment horizontal="left" vertical="center"/>
    </xf>
    <xf numFmtId="0" fontId="10" fillId="11" borderId="26" xfId="0" applyFont="1" applyFill="1" applyBorder="1" applyAlignment="1">
      <alignment horizontal="left" vertical="center"/>
    </xf>
    <xf numFmtId="0" fontId="0" fillId="11" borderId="19" xfId="0" applyFill="1" applyBorder="1" applyAlignment="1">
      <alignment horizontal="left" vertical="center"/>
    </xf>
    <xf numFmtId="0" fontId="10" fillId="11" borderId="5" xfId="0" applyFont="1" applyFill="1" applyBorder="1" applyAlignment="1">
      <alignment horizontal="left" vertical="center"/>
    </xf>
    <xf numFmtId="0" fontId="10" fillId="11" borderId="6" xfId="0" applyFont="1" applyFill="1" applyBorder="1" applyAlignment="1">
      <alignment horizontal="left" vertical="center"/>
    </xf>
    <xf numFmtId="10" fontId="10" fillId="11" borderId="6" xfId="0" applyNumberFormat="1" applyFont="1" applyFill="1" applyBorder="1" applyAlignment="1">
      <alignment horizontal="left" vertical="center"/>
    </xf>
    <xf numFmtId="0" fontId="1" fillId="11" borderId="14" xfId="0" applyFont="1" applyFill="1" applyBorder="1" applyAlignment="1">
      <alignment horizontal="left" vertical="center"/>
    </xf>
    <xf numFmtId="0" fontId="10" fillId="11" borderId="38" xfId="0" applyFont="1" applyFill="1" applyBorder="1" applyAlignment="1">
      <alignment horizontal="left" vertical="center"/>
    </xf>
    <xf numFmtId="0" fontId="10" fillId="11" borderId="39" xfId="0" applyFont="1" applyFill="1" applyBorder="1" applyAlignment="1">
      <alignment horizontal="left" vertical="center"/>
    </xf>
    <xf numFmtId="10" fontId="10" fillId="11" borderId="39" xfId="0" applyNumberFormat="1" applyFont="1" applyFill="1" applyBorder="1" applyAlignment="1">
      <alignment horizontal="left" vertical="center"/>
    </xf>
    <xf numFmtId="0" fontId="10" fillId="11" borderId="40" xfId="0" applyFont="1" applyFill="1" applyBorder="1" applyAlignment="1">
      <alignment horizontal="left" vertical="center"/>
    </xf>
    <xf numFmtId="0" fontId="1" fillId="16" borderId="24" xfId="0" applyFont="1" applyFill="1" applyBorder="1" applyAlignment="1">
      <alignment horizontal="left" vertical="center"/>
    </xf>
    <xf numFmtId="0" fontId="1" fillId="16" borderId="15" xfId="0" applyFont="1" applyFill="1" applyBorder="1" applyAlignment="1">
      <alignment horizontal="left"/>
    </xf>
    <xf numFmtId="1" fontId="1" fillId="16" borderId="15" xfId="0" applyNumberFormat="1" applyFont="1" applyFill="1" applyBorder="1" applyAlignment="1">
      <alignment horizontal="left"/>
    </xf>
    <xf numFmtId="0" fontId="1" fillId="16" borderId="25" xfId="0" applyFont="1" applyFill="1" applyBorder="1" applyAlignment="1">
      <alignment horizontal="left"/>
    </xf>
    <xf numFmtId="0" fontId="1" fillId="11" borderId="28" xfId="0" applyFont="1" applyFill="1" applyBorder="1" applyAlignment="1">
      <alignment horizontal="left" vertical="center"/>
    </xf>
    <xf numFmtId="0" fontId="1" fillId="11" borderId="29" xfId="0" applyFont="1" applyFill="1" applyBorder="1" applyAlignment="1">
      <alignment horizontal="left"/>
    </xf>
    <xf numFmtId="1" fontId="1" fillId="11" borderId="29" xfId="0" applyNumberFormat="1" applyFont="1" applyFill="1" applyBorder="1" applyAlignment="1">
      <alignment horizontal="left"/>
    </xf>
    <xf numFmtId="0" fontId="1" fillId="11" borderId="30" xfId="0" applyFont="1" applyFill="1" applyBorder="1" applyAlignment="1">
      <alignment horizontal="left"/>
    </xf>
    <xf numFmtId="0" fontId="10" fillId="16" borderId="5" xfId="0" applyFont="1" applyFill="1" applyBorder="1" applyAlignment="1">
      <alignment horizontal="left" vertical="center"/>
    </xf>
    <xf numFmtId="0" fontId="1" fillId="16" borderId="6" xfId="0" applyFont="1" applyFill="1" applyBorder="1" applyAlignment="1">
      <alignment horizontal="left"/>
    </xf>
    <xf numFmtId="1" fontId="1" fillId="16" borderId="6" xfId="0" applyNumberFormat="1" applyFont="1" applyFill="1" applyBorder="1" applyAlignment="1">
      <alignment horizontal="left"/>
    </xf>
    <xf numFmtId="10" fontId="1" fillId="16" borderId="6" xfId="0" applyNumberFormat="1" applyFont="1" applyFill="1" applyBorder="1" applyAlignment="1">
      <alignment horizontal="left"/>
    </xf>
    <xf numFmtId="0" fontId="10" fillId="0" borderId="4" xfId="0" applyFont="1" applyBorder="1" applyAlignment="1">
      <alignment horizontal="left" vertical="center"/>
    </xf>
    <xf numFmtId="0" fontId="1" fillId="0" borderId="0" xfId="0" applyFont="1" applyAlignment="1">
      <alignment horizontal="left"/>
    </xf>
    <xf numFmtId="1" fontId="1" fillId="0" borderId="0" xfId="0" applyNumberFormat="1" applyFont="1" applyAlignment="1">
      <alignment horizontal="left"/>
    </xf>
    <xf numFmtId="10" fontId="1" fillId="0" borderId="0" xfId="0" applyNumberFormat="1" applyFont="1" applyAlignment="1">
      <alignment horizontal="left"/>
    </xf>
    <xf numFmtId="0" fontId="1" fillId="0" borderId="41" xfId="0" applyFont="1" applyBorder="1" applyAlignment="1">
      <alignment horizontal="left"/>
    </xf>
    <xf numFmtId="0" fontId="10" fillId="17" borderId="36" xfId="0" applyFont="1" applyFill="1" applyBorder="1" applyAlignment="1">
      <alignment horizontal="left" vertical="center" wrapText="1"/>
    </xf>
    <xf numFmtId="0" fontId="10" fillId="17" borderId="3" xfId="0" applyFont="1" applyFill="1" applyBorder="1" applyAlignment="1">
      <alignment horizontal="left" vertical="center" wrapText="1"/>
    </xf>
    <xf numFmtId="0" fontId="10" fillId="17" borderId="34" xfId="0" applyFont="1" applyFill="1" applyBorder="1" applyAlignment="1">
      <alignment horizontal="left" vertical="center" wrapText="1"/>
    </xf>
    <xf numFmtId="0" fontId="10" fillId="17" borderId="35" xfId="0" applyFont="1" applyFill="1" applyBorder="1" applyAlignment="1">
      <alignment horizontal="left" vertical="center"/>
    </xf>
    <xf numFmtId="0" fontId="1" fillId="8" borderId="26" xfId="0" applyFont="1" applyFill="1" applyBorder="1" applyAlignment="1">
      <alignment horizontal="left" vertical="center" wrapText="1"/>
    </xf>
    <xf numFmtId="0" fontId="1" fillId="8" borderId="19" xfId="0" applyFont="1" applyFill="1" applyBorder="1" applyAlignment="1">
      <alignment horizontal="left" vertical="center" wrapText="1"/>
    </xf>
    <xf numFmtId="0" fontId="1" fillId="8" borderId="25" xfId="0" applyFont="1" applyFill="1" applyBorder="1" applyAlignment="1">
      <alignment horizontal="left" vertical="center"/>
    </xf>
    <xf numFmtId="0" fontId="10" fillId="17" borderId="26" xfId="0" applyFont="1" applyFill="1" applyBorder="1" applyAlignment="1">
      <alignment horizontal="left" vertical="center" wrapText="1"/>
    </xf>
    <xf numFmtId="0" fontId="1" fillId="17" borderId="19" xfId="0" applyFont="1" applyFill="1" applyBorder="1" applyAlignment="1">
      <alignment horizontal="left" vertical="center" wrapText="1"/>
    </xf>
    <xf numFmtId="0" fontId="1" fillId="17" borderId="27" xfId="0" applyFont="1" applyFill="1" applyBorder="1" applyAlignment="1">
      <alignment horizontal="left" vertical="center" wrapText="1"/>
    </xf>
    <xf numFmtId="0" fontId="1" fillId="8" borderId="27" xfId="0" applyFont="1" applyFill="1" applyBorder="1" applyAlignment="1">
      <alignment horizontal="left" vertical="center"/>
    </xf>
    <xf numFmtId="0" fontId="1" fillId="17" borderId="26" xfId="0" applyFont="1" applyFill="1" applyBorder="1" applyAlignment="1">
      <alignment horizontal="left" vertical="center" wrapText="1"/>
    </xf>
    <xf numFmtId="0" fontId="10" fillId="8" borderId="5" xfId="0" applyFont="1" applyFill="1" applyBorder="1" applyAlignment="1">
      <alignment horizontal="left" vertical="center" wrapText="1"/>
    </xf>
    <xf numFmtId="0" fontId="10" fillId="8" borderId="6" xfId="0" applyFont="1" applyFill="1" applyBorder="1" applyAlignment="1">
      <alignment horizontal="left" vertical="center" wrapText="1"/>
    </xf>
    <xf numFmtId="10" fontId="10" fillId="8" borderId="6" xfId="1" applyNumberFormat="1" applyFont="1" applyFill="1" applyBorder="1" applyAlignment="1" applyProtection="1">
      <alignment horizontal="left" vertical="center" wrapText="1"/>
    </xf>
    <xf numFmtId="0" fontId="10" fillId="8" borderId="14" xfId="0" applyFont="1" applyFill="1" applyBorder="1" applyAlignment="1">
      <alignment horizontal="left" vertical="center"/>
    </xf>
    <xf numFmtId="0" fontId="10" fillId="8" borderId="38" xfId="0" applyFont="1" applyFill="1" applyBorder="1" applyAlignment="1">
      <alignment horizontal="left" vertical="center" wrapText="1"/>
    </xf>
    <xf numFmtId="0" fontId="10" fillId="8" borderId="39" xfId="0" applyFont="1" applyFill="1" applyBorder="1" applyAlignment="1">
      <alignment horizontal="left" vertical="center" wrapText="1"/>
    </xf>
    <xf numFmtId="10" fontId="10" fillId="8" borderId="39" xfId="1" applyNumberFormat="1" applyFont="1" applyFill="1" applyBorder="1" applyAlignment="1" applyProtection="1">
      <alignment horizontal="left" vertical="center" wrapText="1"/>
    </xf>
    <xf numFmtId="0" fontId="10" fillId="8" borderId="40" xfId="0" applyFont="1" applyFill="1" applyBorder="1" applyAlignment="1">
      <alignment horizontal="left" vertical="center"/>
    </xf>
    <xf numFmtId="0" fontId="1" fillId="17" borderId="24" xfId="0" applyFont="1" applyFill="1" applyBorder="1" applyAlignment="1">
      <alignment horizontal="left" vertical="center" wrapText="1"/>
    </xf>
    <xf numFmtId="0" fontId="1" fillId="17" borderId="15" xfId="0" applyFont="1" applyFill="1" applyBorder="1" applyAlignment="1">
      <alignment horizontal="left"/>
    </xf>
    <xf numFmtId="1" fontId="1" fillId="17" borderId="15" xfId="0" applyNumberFormat="1" applyFont="1" applyFill="1" applyBorder="1" applyAlignment="1">
      <alignment horizontal="left" vertical="center" wrapText="1"/>
    </xf>
    <xf numFmtId="0" fontId="1" fillId="17" borderId="25" xfId="0" applyFont="1" applyFill="1" applyBorder="1" applyAlignment="1">
      <alignment horizontal="left"/>
    </xf>
    <xf numFmtId="0" fontId="1" fillId="8" borderId="19" xfId="0" applyFont="1" applyFill="1" applyBorder="1" applyAlignment="1">
      <alignment horizontal="left"/>
    </xf>
    <xf numFmtId="1" fontId="1" fillId="8" borderId="19" xfId="0" applyNumberFormat="1" applyFont="1" applyFill="1" applyBorder="1" applyAlignment="1">
      <alignment horizontal="left"/>
    </xf>
    <xf numFmtId="0" fontId="1" fillId="8" borderId="27" xfId="0" applyFont="1" applyFill="1" applyBorder="1" applyAlignment="1">
      <alignment horizontal="left"/>
    </xf>
    <xf numFmtId="0" fontId="1" fillId="17" borderId="21" xfId="0" applyFont="1" applyFill="1" applyBorder="1" applyAlignment="1">
      <alignment horizontal="left" vertical="center" wrapText="1"/>
    </xf>
    <xf numFmtId="0" fontId="1" fillId="17" borderId="22" xfId="0" applyFont="1" applyFill="1" applyBorder="1" applyAlignment="1">
      <alignment horizontal="left"/>
    </xf>
    <xf numFmtId="1" fontId="1" fillId="17" borderId="22" xfId="0" applyNumberFormat="1" applyFont="1" applyFill="1" applyBorder="1" applyAlignment="1">
      <alignment horizontal="left" vertical="center"/>
    </xf>
    <xf numFmtId="0" fontId="1" fillId="17" borderId="23" xfId="0" applyFont="1" applyFill="1" applyBorder="1" applyAlignment="1">
      <alignment horizontal="left"/>
    </xf>
    <xf numFmtId="0" fontId="10" fillId="8" borderId="16" xfId="0" applyFont="1" applyFill="1" applyBorder="1" applyAlignment="1">
      <alignment horizontal="left" vertical="center" wrapText="1"/>
    </xf>
    <xf numFmtId="0" fontId="1" fillId="8" borderId="17" xfId="0" applyFont="1" applyFill="1" applyBorder="1" applyAlignment="1">
      <alignment horizontal="left"/>
    </xf>
    <xf numFmtId="1" fontId="1" fillId="8" borderId="17" xfId="0" applyNumberFormat="1" applyFont="1" applyFill="1" applyBorder="1" applyAlignment="1">
      <alignment horizontal="left" vertical="center"/>
    </xf>
    <xf numFmtId="10" fontId="1" fillId="8" borderId="17" xfId="0" applyNumberFormat="1" applyFont="1" applyFill="1" applyBorder="1" applyAlignment="1">
      <alignment horizontal="left"/>
    </xf>
    <xf numFmtId="0" fontId="1" fillId="8" borderId="18" xfId="0" applyFont="1" applyFill="1" applyBorder="1" applyAlignment="1">
      <alignment horizontal="left"/>
    </xf>
    <xf numFmtId="0" fontId="1" fillId="0" borderId="16" xfId="0" applyFont="1" applyBorder="1" applyAlignment="1">
      <alignment horizontal="left" vertical="center" wrapText="1"/>
    </xf>
    <xf numFmtId="0" fontId="1" fillId="0" borderId="17" xfId="0" applyFont="1" applyBorder="1" applyAlignment="1">
      <alignment horizontal="left"/>
    </xf>
    <xf numFmtId="1" fontId="1" fillId="0" borderId="17" xfId="0" applyNumberFormat="1" applyFont="1" applyBorder="1" applyAlignment="1">
      <alignment horizontal="left" vertical="center"/>
    </xf>
    <xf numFmtId="0" fontId="1" fillId="0" borderId="18" xfId="0" applyFont="1" applyBorder="1" applyAlignment="1">
      <alignment horizontal="left"/>
    </xf>
    <xf numFmtId="0" fontId="10" fillId="18" borderId="36" xfId="0" applyFont="1" applyFill="1" applyBorder="1" applyAlignment="1">
      <alignment horizontal="left" vertical="center"/>
    </xf>
    <xf numFmtId="0" fontId="10" fillId="18" borderId="3" xfId="0" applyFont="1" applyFill="1" applyBorder="1" applyAlignment="1">
      <alignment horizontal="left" vertical="center"/>
    </xf>
    <xf numFmtId="0" fontId="10" fillId="18" borderId="37" xfId="0" applyFont="1" applyFill="1" applyBorder="1" applyAlignment="1">
      <alignment horizontal="left" vertical="center"/>
    </xf>
    <xf numFmtId="0" fontId="10" fillId="12" borderId="26" xfId="0" applyFont="1" applyFill="1" applyBorder="1" applyAlignment="1">
      <alignment horizontal="left" vertical="center"/>
    </xf>
    <xf numFmtId="0" fontId="1" fillId="12" borderId="19" xfId="0" applyFont="1" applyFill="1" applyBorder="1" applyAlignment="1">
      <alignment horizontal="left" vertical="center"/>
    </xf>
    <xf numFmtId="0" fontId="1" fillId="12" borderId="27" xfId="0" applyFont="1" applyFill="1" applyBorder="1" applyAlignment="1">
      <alignment horizontal="left" vertical="center" wrapText="1"/>
    </xf>
    <xf numFmtId="0" fontId="1" fillId="18" borderId="26" xfId="0" applyFont="1" applyFill="1" applyBorder="1" applyAlignment="1">
      <alignment horizontal="left" vertical="center"/>
    </xf>
    <xf numFmtId="0" fontId="1" fillId="18" borderId="19" xfId="0" applyFont="1" applyFill="1" applyBorder="1" applyAlignment="1">
      <alignment horizontal="left" vertical="center"/>
    </xf>
    <xf numFmtId="0" fontId="1" fillId="18" borderId="27" xfId="0" applyFont="1" applyFill="1" applyBorder="1" applyAlignment="1">
      <alignment horizontal="left" vertical="center"/>
    </xf>
    <xf numFmtId="0" fontId="1" fillId="12" borderId="26" xfId="0" applyFont="1" applyFill="1" applyBorder="1" applyAlignment="1">
      <alignment horizontal="left" vertical="center"/>
    </xf>
    <xf numFmtId="0" fontId="1" fillId="12" borderId="27" xfId="0" applyFont="1" applyFill="1" applyBorder="1" applyAlignment="1">
      <alignment horizontal="left" vertical="center"/>
    </xf>
    <xf numFmtId="0" fontId="10" fillId="12" borderId="5" xfId="0" applyFont="1" applyFill="1" applyBorder="1" applyAlignment="1">
      <alignment horizontal="left" vertical="center"/>
    </xf>
    <xf numFmtId="0" fontId="10" fillId="12" borderId="6" xfId="0" applyFont="1" applyFill="1" applyBorder="1" applyAlignment="1">
      <alignment horizontal="left" vertical="center"/>
    </xf>
    <xf numFmtId="10" fontId="10" fillId="12" borderId="6" xfId="1" applyNumberFormat="1" applyFont="1" applyFill="1" applyBorder="1" applyAlignment="1" applyProtection="1">
      <alignment horizontal="left" vertical="center"/>
    </xf>
    <xf numFmtId="0" fontId="1" fillId="12" borderId="14" xfId="0" applyFont="1" applyFill="1" applyBorder="1" applyAlignment="1">
      <alignment horizontal="left" vertical="center"/>
    </xf>
    <xf numFmtId="0" fontId="10" fillId="12" borderId="38" xfId="0" applyFont="1" applyFill="1" applyBorder="1" applyAlignment="1">
      <alignment horizontal="left" vertical="center"/>
    </xf>
    <xf numFmtId="0" fontId="10" fillId="12" borderId="39" xfId="0" applyFont="1" applyFill="1" applyBorder="1" applyAlignment="1">
      <alignment horizontal="left" vertical="center"/>
    </xf>
    <xf numFmtId="10" fontId="10" fillId="12" borderId="39" xfId="1" applyNumberFormat="1" applyFont="1" applyFill="1" applyBorder="1" applyAlignment="1" applyProtection="1">
      <alignment horizontal="left" vertical="center"/>
    </xf>
    <xf numFmtId="0" fontId="10" fillId="12" borderId="40" xfId="0" applyFont="1" applyFill="1" applyBorder="1" applyAlignment="1">
      <alignment horizontal="left" vertical="center"/>
    </xf>
    <xf numFmtId="0" fontId="1" fillId="18" borderId="24" xfId="0" applyFont="1" applyFill="1" applyBorder="1" applyAlignment="1">
      <alignment horizontal="left" vertical="center"/>
    </xf>
    <xf numFmtId="0" fontId="1" fillId="18" borderId="15" xfId="0" applyFont="1" applyFill="1" applyBorder="1" applyAlignment="1">
      <alignment horizontal="left"/>
    </xf>
    <xf numFmtId="1" fontId="1" fillId="18" borderId="15" xfId="0" applyNumberFormat="1" applyFont="1" applyFill="1" applyBorder="1" applyAlignment="1">
      <alignment horizontal="left"/>
    </xf>
    <xf numFmtId="0" fontId="1" fillId="18" borderId="25" xfId="0" applyFont="1" applyFill="1" applyBorder="1" applyAlignment="1">
      <alignment horizontal="left"/>
    </xf>
    <xf numFmtId="0" fontId="1" fillId="12" borderId="19" xfId="0" applyFont="1" applyFill="1" applyBorder="1" applyAlignment="1">
      <alignment horizontal="left"/>
    </xf>
    <xf numFmtId="1" fontId="1" fillId="12" borderId="19" xfId="0" applyNumberFormat="1" applyFont="1" applyFill="1" applyBorder="1" applyAlignment="1">
      <alignment horizontal="left"/>
    </xf>
    <xf numFmtId="0" fontId="1" fillId="12" borderId="27" xfId="0" applyFont="1" applyFill="1" applyBorder="1" applyAlignment="1">
      <alignment horizontal="left"/>
    </xf>
    <xf numFmtId="0" fontId="1" fillId="18" borderId="28" xfId="0" applyFont="1" applyFill="1" applyBorder="1" applyAlignment="1">
      <alignment horizontal="left" vertical="center"/>
    </xf>
    <xf numFmtId="0" fontId="1" fillId="18" borderId="29" xfId="0" applyFont="1" applyFill="1" applyBorder="1" applyAlignment="1">
      <alignment horizontal="left"/>
    </xf>
    <xf numFmtId="1" fontId="1" fillId="18" borderId="29" xfId="0" applyNumberFormat="1" applyFont="1" applyFill="1" applyBorder="1" applyAlignment="1">
      <alignment horizontal="left" vertical="center"/>
    </xf>
    <xf numFmtId="0" fontId="1" fillId="18" borderId="30" xfId="0" applyFont="1" applyFill="1" applyBorder="1" applyAlignment="1">
      <alignment horizontal="left"/>
    </xf>
    <xf numFmtId="0" fontId="1" fillId="12" borderId="6" xfId="0" applyFont="1" applyFill="1" applyBorder="1" applyAlignment="1">
      <alignment horizontal="left"/>
    </xf>
    <xf numFmtId="1" fontId="1" fillId="12" borderId="6" xfId="0" applyNumberFormat="1" applyFont="1" applyFill="1" applyBorder="1" applyAlignment="1">
      <alignment horizontal="left" vertical="center"/>
    </xf>
    <xf numFmtId="10" fontId="1" fillId="12" borderId="6" xfId="0" applyNumberFormat="1" applyFont="1" applyFill="1" applyBorder="1" applyAlignment="1">
      <alignment horizontal="left"/>
    </xf>
    <xf numFmtId="0" fontId="1" fillId="12" borderId="14" xfId="0" applyFont="1" applyFill="1" applyBorder="1" applyAlignment="1">
      <alignment horizontal="left"/>
    </xf>
    <xf numFmtId="0" fontId="1" fillId="16" borderId="27" xfId="0" applyFont="1" applyFill="1" applyBorder="1" applyAlignment="1">
      <alignment horizontal="left" vertical="center" wrapText="1"/>
    </xf>
    <xf numFmtId="0" fontId="1" fillId="11" borderId="27" xfId="0" applyFont="1" applyFill="1" applyBorder="1" applyAlignment="1">
      <alignment horizontal="left" vertical="center" wrapText="1"/>
    </xf>
    <xf numFmtId="0" fontId="12" fillId="0" borderId="0" xfId="0" applyFont="1" applyAlignment="1">
      <alignment horizontal="left"/>
    </xf>
    <xf numFmtId="49" fontId="0" fillId="0" borderId="0" xfId="0" applyNumberFormat="1" applyAlignment="1">
      <alignment horizontal="left" wrapText="1"/>
    </xf>
    <xf numFmtId="0" fontId="12" fillId="0" borderId="0" xfId="0" applyFont="1"/>
    <xf numFmtId="0" fontId="10" fillId="16" borderId="14" xfId="0" applyFont="1" applyFill="1" applyBorder="1" applyAlignment="1">
      <alignment horizontal="left"/>
    </xf>
    <xf numFmtId="49" fontId="1" fillId="16" borderId="6" xfId="0" applyNumberFormat="1" applyFont="1" applyFill="1" applyBorder="1" applyAlignment="1">
      <alignment horizontal="left"/>
    </xf>
    <xf numFmtId="0" fontId="3" fillId="0" borderId="0" xfId="0" applyFont="1" applyAlignment="1">
      <alignment horizontal="center" vertical="center"/>
    </xf>
    <xf numFmtId="0" fontId="3" fillId="0" borderId="0" xfId="0" applyFont="1" applyAlignment="1">
      <alignment horizontal="left" vertical="center" wrapText="1"/>
    </xf>
    <xf numFmtId="49" fontId="3" fillId="0" borderId="5" xfId="0" applyNumberFormat="1" applyFont="1" applyBorder="1" applyAlignment="1">
      <alignment horizontal="left" vertical="center" wrapText="1"/>
    </xf>
    <xf numFmtId="49" fontId="3" fillId="0" borderId="6" xfId="0" applyNumberFormat="1" applyFont="1" applyBorder="1" applyAlignment="1">
      <alignment horizontal="left" vertical="center" wrapText="1"/>
    </xf>
    <xf numFmtId="0" fontId="3" fillId="11" borderId="7" xfId="0" applyFont="1" applyFill="1" applyBorder="1" applyAlignment="1">
      <alignment horizontal="center" vertical="center" wrapText="1"/>
    </xf>
    <xf numFmtId="0" fontId="3" fillId="8" borderId="8" xfId="0" applyFont="1" applyFill="1" applyBorder="1" applyAlignment="1">
      <alignment horizontal="center" vertical="center" wrapText="1"/>
    </xf>
    <xf numFmtId="0" fontId="3" fillId="12" borderId="9" xfId="0" applyFont="1" applyFill="1" applyBorder="1" applyAlignment="1">
      <alignment horizontal="center" vertical="center" wrapText="1"/>
    </xf>
    <xf numFmtId="0" fontId="0" fillId="0" borderId="0" xfId="0" applyAlignment="1">
      <alignment horizontal="center" vertical="center"/>
    </xf>
    <xf numFmtId="0" fontId="5" fillId="13" borderId="6" xfId="0" applyFont="1" applyFill="1" applyBorder="1" applyAlignment="1">
      <alignment horizontal="left" vertical="center" wrapText="1"/>
    </xf>
    <xf numFmtId="0" fontId="0" fillId="13" borderId="5" xfId="0" applyFill="1" applyBorder="1" applyAlignment="1">
      <alignment horizontal="center" vertical="center"/>
    </xf>
    <xf numFmtId="49" fontId="6" fillId="0" borderId="20" xfId="0" applyNumberFormat="1" applyFont="1" applyBorder="1" applyAlignment="1">
      <alignment horizontal="right" vertical="center" wrapText="1"/>
    </xf>
    <xf numFmtId="0" fontId="5" fillId="13" borderId="6" xfId="0" applyFont="1" applyFill="1" applyBorder="1" applyAlignment="1">
      <alignment horizontal="left" vertical="center"/>
    </xf>
    <xf numFmtId="49" fontId="6" fillId="0" borderId="13" xfId="0" applyNumberFormat="1" applyFont="1" applyBorder="1" applyAlignment="1">
      <alignment horizontal="right" vertical="center" wrapText="1"/>
    </xf>
    <xf numFmtId="49" fontId="6" fillId="0" borderId="33" xfId="0" applyNumberFormat="1" applyFont="1" applyBorder="1" applyAlignment="1">
      <alignment horizontal="right" vertical="center" wrapText="1"/>
    </xf>
    <xf numFmtId="0" fontId="5" fillId="14" borderId="35" xfId="0" applyFont="1" applyFill="1" applyBorder="1" applyAlignment="1">
      <alignment horizontal="left" vertical="center" wrapText="1"/>
    </xf>
    <xf numFmtId="0" fontId="0" fillId="0" borderId="8" xfId="0" applyBorder="1" applyAlignment="1">
      <alignment horizontal="right" vertical="center" wrapText="1"/>
    </xf>
    <xf numFmtId="0" fontId="6" fillId="0" borderId="21" xfId="0" applyFont="1" applyBorder="1" applyAlignment="1">
      <alignment horizontal="right" vertical="center" wrapText="1"/>
    </xf>
    <xf numFmtId="9" fontId="6" fillId="11" borderId="33" xfId="1" applyFont="1" applyFill="1" applyBorder="1" applyAlignment="1" applyProtection="1">
      <alignment horizontal="center" vertical="center" wrapText="1"/>
    </xf>
    <xf numFmtId="9" fontId="6" fillId="8" borderId="33" xfId="1" applyFont="1" applyFill="1" applyBorder="1" applyAlignment="1" applyProtection="1">
      <alignment horizontal="center" vertical="center" wrapText="1"/>
    </xf>
    <xf numFmtId="9" fontId="6" fillId="15" borderId="33" xfId="1" applyFont="1" applyFill="1" applyBorder="1" applyAlignment="1" applyProtection="1">
      <alignment horizontal="center" vertical="center" wrapText="1"/>
    </xf>
    <xf numFmtId="0" fontId="8" fillId="0" borderId="0" xfId="0" applyFont="1" applyAlignment="1">
      <alignment horizontal="center" vertical="center"/>
    </xf>
    <xf numFmtId="0" fontId="9" fillId="16" borderId="35" xfId="0" applyFont="1" applyFill="1" applyBorder="1" applyAlignment="1">
      <alignment horizontal="center"/>
    </xf>
    <xf numFmtId="2" fontId="9" fillId="17" borderId="42" xfId="0" applyNumberFormat="1" applyFont="1" applyFill="1" applyBorder="1" applyAlignment="1">
      <alignment horizontal="center" vertical="center" wrapText="1"/>
    </xf>
    <xf numFmtId="0" fontId="9" fillId="18" borderId="42" xfId="0" applyFont="1" applyFill="1" applyBorder="1" applyAlignment="1">
      <alignment horizontal="center"/>
    </xf>
  </cellXfs>
  <cellStyles count="6">
    <cellStyle name="Excel Built-in 40% - Accent1" xfId="3" xr:uid="{00000000-0005-0000-0000-000007000000}"/>
    <cellStyle name="Excel Built-in 40% - Accent2" xfId="4" xr:uid="{00000000-0005-0000-0000-000008000000}"/>
    <cellStyle name="Excel Built-in 40% - Accent3" xfId="5" xr:uid="{00000000-0005-0000-0000-000009000000}"/>
    <cellStyle name="Excel Built-in Output" xfId="2" xr:uid="{00000000-0005-0000-0000-000006000000}"/>
    <cellStyle name="Normal" xfId="0" builtinId="0"/>
    <cellStyle name="Pourcentage" xfId="1" builtinId="5"/>
  </cellStyles>
  <dxfs count="0"/>
  <tableStyles count="0" defaultTableStyle="TableStyleMedium2" defaultPivotStyle="PivotStyleLight16"/>
  <colors>
    <indexedColors>
      <rgbColor rgb="FF000000"/>
      <rgbColor rgb="FFFFFFFF"/>
      <rgbColor rgb="FFFF0000"/>
      <rgbColor rgb="FF00FF00"/>
      <rgbColor rgb="FF0000FF"/>
      <rgbColor rgb="FFE7E6E6"/>
      <rgbColor rgb="FFFF00FF"/>
      <rgbColor rgb="FF00FFFF"/>
      <rgbColor rgb="FF800000"/>
      <rgbColor rgb="FF008000"/>
      <rgbColor rgb="FF000080"/>
      <rgbColor rgb="FF808000"/>
      <rgbColor rgb="FF800080"/>
      <rgbColor rgb="FF008080"/>
      <rgbColor rgb="FFC9C9C9"/>
      <rgbColor rgb="FF808080"/>
      <rgbColor rgb="FFDAE3F3"/>
      <rgbColor rgb="FF993366"/>
      <rgbColor rgb="FFFFF2CC"/>
      <rgbColor rgb="FFDEEBF7"/>
      <rgbColor rgb="FF660066"/>
      <rgbColor rgb="FFF2F2F2"/>
      <rgbColor rgb="FF0066CC"/>
      <rgbColor rgb="FFBDD7EE"/>
      <rgbColor rgb="FF000080"/>
      <rgbColor rgb="FFFF00FF"/>
      <rgbColor rgb="FFEDEDED"/>
      <rgbColor rgb="FF00FFFF"/>
      <rgbColor rgb="FF800080"/>
      <rgbColor rgb="FF800000"/>
      <rgbColor rgb="FF008080"/>
      <rgbColor rgb="FF0000FF"/>
      <rgbColor rgb="FF00CCFF"/>
      <rgbColor rgb="FFE2EFDA"/>
      <rgbColor rgb="FFE2F0D9"/>
      <rgbColor rgb="FFFFE699"/>
      <rgbColor rgb="FFB4C7E7"/>
      <rgbColor rgb="FFDBDBDB"/>
      <rgbColor rgb="FFB4C6E7"/>
      <rgbColor rgb="FFF8CBAD"/>
      <rgbColor rgb="FF3366FF"/>
      <rgbColor rgb="FF33CCCC"/>
      <rgbColor rgb="FF99CC00"/>
      <rgbColor rgb="FFFFC000"/>
      <rgbColor rgb="FFFF9900"/>
      <rgbColor rgb="FFFF6600"/>
      <rgbColor rgb="FF666699"/>
      <rgbColor rgb="FFC5E0B4"/>
      <rgbColor rgb="FF003366"/>
      <rgbColor rgb="FF339966"/>
      <rgbColor rgb="FF003300"/>
      <rgbColor rgb="FF333300"/>
      <rgbColor rgb="FF993300"/>
      <rgbColor rgb="FF993366"/>
      <rgbColor rgb="FF333399"/>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H7"/>
  <sheetViews>
    <sheetView zoomScale="120" zoomScaleNormal="120" workbookViewId="0">
      <selection activeCell="A7" sqref="A7"/>
    </sheetView>
  </sheetViews>
  <sheetFormatPr defaultColWidth="9.140625" defaultRowHeight="15"/>
  <cols>
    <col min="2" max="3" width="15" customWidth="1"/>
    <col min="4" max="4" width="16" customWidth="1"/>
    <col min="5" max="5" width="14.140625" customWidth="1"/>
    <col min="6" max="6" width="16.140625" customWidth="1"/>
    <col min="7" max="7" width="9.28515625" customWidth="1"/>
    <col min="8" max="8" width="15.7109375" customWidth="1"/>
  </cols>
  <sheetData>
    <row r="3" spans="1:8" ht="30.75">
      <c r="A3" s="2"/>
      <c r="B3" s="4" t="s">
        <v>0</v>
      </c>
      <c r="C3" s="5" t="s">
        <v>1</v>
      </c>
      <c r="D3" s="5" t="s">
        <v>2</v>
      </c>
      <c r="E3" s="4" t="s">
        <v>3</v>
      </c>
      <c r="F3" s="5" t="s">
        <v>4</v>
      </c>
      <c r="G3" s="6" t="s">
        <v>5</v>
      </c>
      <c r="H3" s="7" t="s">
        <v>6</v>
      </c>
    </row>
    <row r="4" spans="1:8">
      <c r="A4" s="8" t="s">
        <v>7</v>
      </c>
      <c r="B4" s="9">
        <f>(Fonctionnalités!D14)</f>
        <v>0.96</v>
      </c>
      <c r="C4" s="9">
        <f>Fonctionnalités!D18</f>
        <v>1</v>
      </c>
      <c r="D4" s="9">
        <f>'Assurance Qualité'!C59</f>
        <v>0.67949999999999999</v>
      </c>
      <c r="E4" s="9">
        <f>B4*0.5+C4*0.1+D4*0.4 - 0.1*F4</f>
        <v>0.85179999999999989</v>
      </c>
      <c r="F4" s="10"/>
      <c r="G4" s="11">
        <v>20</v>
      </c>
      <c r="H4" s="12">
        <f>E4*G4</f>
        <v>17.035999999999998</v>
      </c>
    </row>
    <row r="5" spans="1:8">
      <c r="A5" s="13" t="s">
        <v>8</v>
      </c>
      <c r="B5" s="14">
        <f>(Fonctionnalités!D28)</f>
        <v>0</v>
      </c>
      <c r="C5" s="14">
        <f>Fonctionnalités!D33</f>
        <v>0</v>
      </c>
      <c r="D5" s="14">
        <f>'Assurance Qualité'!F59</f>
        <v>0</v>
      </c>
      <c r="E5" s="14">
        <f>B5*0.5+C5*0.1+D5*0.4 - 0.1*F5</f>
        <v>0</v>
      </c>
      <c r="F5" s="15"/>
      <c r="G5" s="16">
        <v>25</v>
      </c>
      <c r="H5" s="17">
        <f>E5*G5</f>
        <v>0</v>
      </c>
    </row>
    <row r="6" spans="1:8">
      <c r="A6" s="18" t="s">
        <v>9</v>
      </c>
      <c r="B6" s="19">
        <f>(Fonctionnalités!D43)</f>
        <v>0</v>
      </c>
      <c r="C6" s="19">
        <f>Fonctionnalités!D48</f>
        <v>0</v>
      </c>
      <c r="D6" s="19">
        <f>'Assurance Qualité'!I59</f>
        <v>0</v>
      </c>
      <c r="E6" s="19">
        <f>B6*0.5+C6*0.1+D6*0.4 - 0.1*F6</f>
        <v>0</v>
      </c>
      <c r="F6" s="20"/>
      <c r="G6" s="21">
        <v>25</v>
      </c>
      <c r="H6" s="22">
        <f>E6*G6</f>
        <v>0</v>
      </c>
    </row>
    <row r="7" spans="1:8">
      <c r="A7" s="23" t="s">
        <v>10</v>
      </c>
      <c r="B7" s="23"/>
      <c r="C7" s="23"/>
      <c r="D7" s="23"/>
      <c r="E7" s="24">
        <v>0</v>
      </c>
      <c r="F7" s="25"/>
      <c r="G7" s="23">
        <v>5</v>
      </c>
      <c r="H7" s="26">
        <f>E7*G7</f>
        <v>0</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Q59"/>
  <sheetViews>
    <sheetView topLeftCell="A12" zoomScale="120" zoomScaleNormal="120" workbookViewId="0">
      <selection activeCell="E16" sqref="E16"/>
    </sheetView>
  </sheetViews>
  <sheetFormatPr defaultColWidth="9.140625" defaultRowHeight="15"/>
  <cols>
    <col min="1" max="1" width="22.7109375" style="27" customWidth="1"/>
    <col min="2" max="2" width="77.5703125" style="28" customWidth="1"/>
    <col min="3" max="4" width="10.7109375" style="27" customWidth="1"/>
    <col min="5" max="5" width="53.5703125" style="28" customWidth="1"/>
    <col min="6" max="7" width="10.7109375" customWidth="1"/>
    <col min="8" max="8" width="20.7109375" style="28" customWidth="1"/>
    <col min="9" max="10" width="10.7109375" customWidth="1"/>
    <col min="11" max="11" width="42.42578125" style="28" customWidth="1"/>
    <col min="12" max="13" width="12.7109375" customWidth="1"/>
    <col min="14" max="16" width="15.7109375" customWidth="1"/>
  </cols>
  <sheetData>
    <row r="2" spans="1:17" ht="18" customHeight="1">
      <c r="A2" s="247" t="s">
        <v>11</v>
      </c>
      <c r="B2" s="247"/>
      <c r="C2" s="247"/>
      <c r="D2" s="247"/>
      <c r="E2" s="247"/>
      <c r="F2" s="247"/>
      <c r="G2" s="247"/>
      <c r="H2" s="247"/>
      <c r="I2" s="247"/>
      <c r="J2" s="247"/>
      <c r="K2" s="247"/>
      <c r="L2" s="29"/>
      <c r="M2" s="29"/>
    </row>
    <row r="4" spans="1:17" ht="18" customHeight="1">
      <c r="A4" s="248" t="s">
        <v>12</v>
      </c>
      <c r="B4" s="248"/>
      <c r="C4" s="248"/>
      <c r="D4" s="248"/>
      <c r="E4" s="248"/>
      <c r="F4" s="248"/>
      <c r="G4" s="248"/>
      <c r="H4" s="248"/>
      <c r="I4" s="248"/>
      <c r="J4" s="248"/>
      <c r="K4" s="248"/>
      <c r="L4" s="30"/>
      <c r="M4" s="30"/>
    </row>
    <row r="5" spans="1:17" ht="18.75">
      <c r="A5" s="31"/>
      <c r="B5" s="3"/>
      <c r="C5" s="32"/>
      <c r="D5" s="32"/>
      <c r="E5" s="3"/>
      <c r="F5" s="32"/>
      <c r="G5" s="32"/>
      <c r="H5" s="3"/>
      <c r="I5" s="32"/>
      <c r="J5" s="32"/>
      <c r="K5" s="3"/>
      <c r="L5" s="32"/>
      <c r="M5" s="32"/>
    </row>
    <row r="6" spans="1:17" ht="18" customHeight="1">
      <c r="A6" s="249" t="s">
        <v>13</v>
      </c>
      <c r="B6" s="250" t="s">
        <v>14</v>
      </c>
      <c r="C6" s="251" t="s">
        <v>7</v>
      </c>
      <c r="D6" s="251"/>
      <c r="E6" s="251"/>
      <c r="F6" s="252" t="s">
        <v>8</v>
      </c>
      <c r="G6" s="252"/>
      <c r="H6" s="252"/>
      <c r="I6" s="253" t="s">
        <v>9</v>
      </c>
      <c r="J6" s="253"/>
      <c r="K6" s="253"/>
      <c r="L6" s="33"/>
      <c r="M6" s="33"/>
      <c r="N6" s="254"/>
      <c r="O6" s="254"/>
      <c r="P6" s="254"/>
    </row>
    <row r="7" spans="1:17" ht="18.75">
      <c r="A7" s="249"/>
      <c r="B7" s="250"/>
      <c r="C7" s="34" t="s">
        <v>15</v>
      </c>
      <c r="D7" s="35" t="s">
        <v>5</v>
      </c>
      <c r="E7" s="36" t="s">
        <v>16</v>
      </c>
      <c r="F7" s="37" t="s">
        <v>15</v>
      </c>
      <c r="G7" s="38" t="s">
        <v>5</v>
      </c>
      <c r="H7" s="39" t="s">
        <v>16</v>
      </c>
      <c r="I7" s="40" t="s">
        <v>15</v>
      </c>
      <c r="J7" s="41" t="s">
        <v>5</v>
      </c>
      <c r="K7" s="42" t="s">
        <v>16</v>
      </c>
      <c r="L7" s="33"/>
      <c r="M7" s="33"/>
      <c r="N7" s="2"/>
      <c r="O7" s="2"/>
      <c r="P7" s="2"/>
      <c r="Q7" s="2"/>
    </row>
    <row r="8" spans="1:17" ht="18.75" customHeight="1">
      <c r="A8" s="255" t="s">
        <v>17</v>
      </c>
      <c r="B8" s="255"/>
      <c r="C8" s="256" t="s">
        <v>18</v>
      </c>
      <c r="D8" s="256"/>
      <c r="E8" s="43" t="s">
        <v>19</v>
      </c>
      <c r="F8" s="256" t="s">
        <v>18</v>
      </c>
      <c r="G8" s="256"/>
      <c r="H8" s="43"/>
      <c r="I8" s="256" t="s">
        <v>18</v>
      </c>
      <c r="J8" s="256"/>
      <c r="K8" s="43"/>
      <c r="L8" s="33"/>
      <c r="M8" s="33"/>
      <c r="N8" s="2"/>
      <c r="O8" s="2"/>
      <c r="P8" s="2"/>
      <c r="Q8" s="2"/>
    </row>
    <row r="9" spans="1:17" ht="137.25">
      <c r="A9" s="44" t="s">
        <v>20</v>
      </c>
      <c r="B9" s="44" t="s">
        <v>21</v>
      </c>
      <c r="C9" s="45">
        <v>0.45</v>
      </c>
      <c r="D9" s="46">
        <v>6</v>
      </c>
      <c r="E9" s="47" t="s">
        <v>22</v>
      </c>
      <c r="F9" s="48">
        <v>0</v>
      </c>
      <c r="G9" s="49">
        <v>6</v>
      </c>
      <c r="H9" s="50"/>
      <c r="I9" s="51">
        <v>0</v>
      </c>
      <c r="J9" s="52">
        <v>6</v>
      </c>
      <c r="K9" s="53"/>
      <c r="L9" s="33"/>
      <c r="M9" s="33"/>
      <c r="N9" s="2"/>
      <c r="O9" s="2"/>
      <c r="P9" s="2"/>
      <c r="Q9" s="2"/>
    </row>
    <row r="10" spans="1:17" ht="106.5">
      <c r="A10" s="54" t="s">
        <v>23</v>
      </c>
      <c r="B10" s="54" t="s">
        <v>24</v>
      </c>
      <c r="C10" s="45">
        <v>0.5</v>
      </c>
      <c r="D10" s="46">
        <v>2</v>
      </c>
      <c r="E10" s="47" t="s">
        <v>25</v>
      </c>
      <c r="F10" s="48">
        <v>0</v>
      </c>
      <c r="G10" s="49">
        <v>2</v>
      </c>
      <c r="H10" s="50"/>
      <c r="I10" s="51">
        <v>0</v>
      </c>
      <c r="J10" s="52">
        <v>2</v>
      </c>
      <c r="K10" s="53"/>
      <c r="L10" s="33"/>
      <c r="M10" s="33"/>
      <c r="N10" s="2"/>
      <c r="O10" s="2"/>
      <c r="P10" s="2"/>
      <c r="Q10" s="2"/>
    </row>
    <row r="11" spans="1:17" s="65" customFormat="1" ht="15.75" customHeight="1">
      <c r="A11" s="257" t="s">
        <v>26</v>
      </c>
      <c r="B11" s="257"/>
      <c r="C11" s="55">
        <f>SUMPRODUCT(C6:C10,D6:D10)</f>
        <v>3.7</v>
      </c>
      <c r="D11" s="56">
        <f>SUM(D6:D10)</f>
        <v>8</v>
      </c>
      <c r="E11" s="57"/>
      <c r="F11" s="58">
        <f>SUMPRODUCT(F6:F10,G6:G10)</f>
        <v>0</v>
      </c>
      <c r="G11" s="59">
        <f>SUM(G6:G10)</f>
        <v>8</v>
      </c>
      <c r="H11" s="60"/>
      <c r="I11" s="61">
        <f>SUMPRODUCT(I6:I10,J6:J10)</f>
        <v>0</v>
      </c>
      <c r="J11" s="62">
        <f>SUM(J6:J10)</f>
        <v>8</v>
      </c>
      <c r="K11" s="63"/>
      <c r="L11" s="64"/>
      <c r="M11" s="64"/>
    </row>
    <row r="12" spans="1:17" s="66" customFormat="1" ht="18" customHeight="1">
      <c r="A12" s="255" t="s">
        <v>27</v>
      </c>
      <c r="B12" s="255"/>
      <c r="C12" s="256" t="s">
        <v>18</v>
      </c>
      <c r="D12" s="256"/>
      <c r="E12" s="43" t="s">
        <v>28</v>
      </c>
      <c r="F12" s="256" t="s">
        <v>18</v>
      </c>
      <c r="G12" s="256"/>
      <c r="H12" s="43"/>
      <c r="I12" s="256" t="s">
        <v>18</v>
      </c>
      <c r="J12" s="256"/>
      <c r="K12" s="43"/>
      <c r="L12" s="30"/>
      <c r="M12" s="30"/>
    </row>
    <row r="13" spans="1:17">
      <c r="A13" s="44" t="s">
        <v>29</v>
      </c>
      <c r="B13" s="44" t="s">
        <v>30</v>
      </c>
      <c r="C13" s="67">
        <v>0.8</v>
      </c>
      <c r="D13" s="68">
        <v>3</v>
      </c>
      <c r="E13" s="69" t="s">
        <v>31</v>
      </c>
      <c r="F13" s="70">
        <v>0</v>
      </c>
      <c r="G13" s="71">
        <f>D13</f>
        <v>3</v>
      </c>
      <c r="H13" s="72"/>
      <c r="I13" s="73">
        <v>0</v>
      </c>
      <c r="J13" s="74">
        <f>G13</f>
        <v>3</v>
      </c>
      <c r="K13" s="75"/>
      <c r="L13" s="76"/>
      <c r="M13" s="76"/>
    </row>
    <row r="14" spans="1:17" ht="91.5">
      <c r="A14" s="54" t="s">
        <v>32</v>
      </c>
      <c r="B14" s="54" t="s">
        <v>33</v>
      </c>
      <c r="C14" s="77">
        <v>0</v>
      </c>
      <c r="D14" s="78">
        <v>2</v>
      </c>
      <c r="E14" s="79" t="s">
        <v>34</v>
      </c>
      <c r="F14" s="80">
        <v>0</v>
      </c>
      <c r="G14" s="71">
        <f>D14</f>
        <v>2</v>
      </c>
      <c r="H14" s="81"/>
      <c r="I14" s="82">
        <v>0</v>
      </c>
      <c r="J14" s="74">
        <f>G14</f>
        <v>2</v>
      </c>
      <c r="K14" s="83"/>
      <c r="L14" s="76"/>
      <c r="M14" s="76"/>
    </row>
    <row r="15" spans="1:17" ht="167.25">
      <c r="A15" s="54" t="s">
        <v>35</v>
      </c>
      <c r="B15" s="54" t="s">
        <v>36</v>
      </c>
      <c r="C15" s="77">
        <v>0</v>
      </c>
      <c r="D15" s="78">
        <v>2</v>
      </c>
      <c r="E15" s="79" t="s">
        <v>37</v>
      </c>
      <c r="F15" s="80">
        <v>0</v>
      </c>
      <c r="G15" s="71">
        <f>D15</f>
        <v>2</v>
      </c>
      <c r="H15" s="81"/>
      <c r="I15" s="82">
        <v>0</v>
      </c>
      <c r="J15" s="74">
        <f>G15</f>
        <v>2</v>
      </c>
      <c r="K15" s="83"/>
      <c r="L15" s="76"/>
      <c r="M15" s="76"/>
    </row>
    <row r="16" spans="1:17" ht="30.75">
      <c r="A16" s="54" t="s">
        <v>38</v>
      </c>
      <c r="B16" s="54" t="s">
        <v>39</v>
      </c>
      <c r="C16" s="77">
        <v>1</v>
      </c>
      <c r="D16" s="78">
        <v>4</v>
      </c>
      <c r="E16" s="79"/>
      <c r="F16" s="80">
        <v>0</v>
      </c>
      <c r="G16" s="71">
        <f>D16</f>
        <v>4</v>
      </c>
      <c r="H16" s="81"/>
      <c r="I16" s="82">
        <v>0</v>
      </c>
      <c r="J16" s="74">
        <f>G16</f>
        <v>4</v>
      </c>
      <c r="K16" s="83"/>
      <c r="L16" s="76"/>
      <c r="M16" s="76"/>
    </row>
    <row r="17" spans="1:13" ht="30.75">
      <c r="A17" s="54" t="s">
        <v>40</v>
      </c>
      <c r="B17" s="54" t="s">
        <v>41</v>
      </c>
      <c r="C17" s="77">
        <v>1</v>
      </c>
      <c r="D17" s="78">
        <v>4</v>
      </c>
      <c r="E17" s="79"/>
      <c r="F17" s="80">
        <v>0</v>
      </c>
      <c r="G17" s="71">
        <f>D17</f>
        <v>4</v>
      </c>
      <c r="H17" s="81"/>
      <c r="I17" s="82">
        <v>0</v>
      </c>
      <c r="J17" s="74">
        <f>G17</f>
        <v>4</v>
      </c>
      <c r="K17" s="83"/>
      <c r="L17" s="76"/>
      <c r="M17" s="76"/>
    </row>
    <row r="18" spans="1:13" s="65" customFormat="1" ht="15.75" customHeight="1">
      <c r="A18" s="257" t="s">
        <v>26</v>
      </c>
      <c r="B18" s="257"/>
      <c r="C18" s="55">
        <f>SUMPRODUCT(C13:C17,D13:D17)</f>
        <v>10.4</v>
      </c>
      <c r="D18" s="56">
        <f>SUM(D13:D17)</f>
        <v>15</v>
      </c>
      <c r="E18" s="57"/>
      <c r="F18" s="58">
        <f>SUMPRODUCT(F13:F17,G13:G17)</f>
        <v>0</v>
      </c>
      <c r="G18" s="59">
        <f>SUM(G13:G17)</f>
        <v>15</v>
      </c>
      <c r="H18" s="60"/>
      <c r="I18" s="61">
        <f>SUMPRODUCT(I13:I17,J13:J17)</f>
        <v>0</v>
      </c>
      <c r="J18" s="62">
        <f>SUM(J13:J17)</f>
        <v>15</v>
      </c>
      <c r="K18" s="63"/>
      <c r="L18" s="64"/>
      <c r="M18" s="64"/>
    </row>
    <row r="19" spans="1:13" s="66" customFormat="1" ht="18" customHeight="1">
      <c r="A19" s="258" t="s">
        <v>42</v>
      </c>
      <c r="B19" s="258"/>
      <c r="C19" s="256" t="s">
        <v>18</v>
      </c>
      <c r="D19" s="256"/>
      <c r="E19" s="43" t="s">
        <v>19</v>
      </c>
      <c r="F19" s="256" t="s">
        <v>18</v>
      </c>
      <c r="G19" s="256"/>
      <c r="H19" s="43"/>
      <c r="I19" s="256" t="s">
        <v>18</v>
      </c>
      <c r="J19" s="256"/>
      <c r="K19" s="43"/>
      <c r="L19" s="30"/>
      <c r="M19" s="30"/>
    </row>
    <row r="20" spans="1:13" ht="45.75">
      <c r="A20" s="54" t="s">
        <v>43</v>
      </c>
      <c r="B20" s="54" t="s">
        <v>44</v>
      </c>
      <c r="C20" s="77">
        <v>1</v>
      </c>
      <c r="D20" s="78">
        <v>3</v>
      </c>
      <c r="E20" s="79"/>
      <c r="F20" s="80">
        <v>0</v>
      </c>
      <c r="G20" s="84">
        <v>3</v>
      </c>
      <c r="H20" s="81"/>
      <c r="I20" s="82">
        <v>0</v>
      </c>
      <c r="J20" s="85">
        <v>3</v>
      </c>
      <c r="K20" s="83"/>
      <c r="L20" s="76"/>
      <c r="M20" s="76"/>
    </row>
    <row r="21" spans="1:13" ht="60.75">
      <c r="A21" s="54" t="s">
        <v>45</v>
      </c>
      <c r="B21" s="54" t="s">
        <v>46</v>
      </c>
      <c r="C21" s="77">
        <v>0.75</v>
      </c>
      <c r="D21" s="78">
        <v>3</v>
      </c>
      <c r="E21" s="79" t="s">
        <v>47</v>
      </c>
      <c r="F21" s="80">
        <v>0</v>
      </c>
      <c r="G21" s="84">
        <v>3</v>
      </c>
      <c r="H21" s="81"/>
      <c r="I21" s="82">
        <v>0</v>
      </c>
      <c r="J21" s="85">
        <v>3</v>
      </c>
      <c r="K21" s="83"/>
      <c r="L21" s="76"/>
      <c r="M21" s="76"/>
    </row>
    <row r="22" spans="1:13" s="65" customFormat="1" ht="15.75" customHeight="1">
      <c r="A22" s="259" t="s">
        <v>26</v>
      </c>
      <c r="B22" s="259"/>
      <c r="C22" s="86">
        <f>SUMPRODUCT(C20:C21,D20:D21)</f>
        <v>5.25</v>
      </c>
      <c r="D22" s="87">
        <f>SUM(D20:D21)</f>
        <v>6</v>
      </c>
      <c r="E22" s="88"/>
      <c r="F22" s="89">
        <f>SUMPRODUCT(F20:F21,G20:G21)</f>
        <v>0</v>
      </c>
      <c r="G22" s="90">
        <f>SUM(G20:G21)</f>
        <v>6</v>
      </c>
      <c r="H22" s="91"/>
      <c r="I22" s="92">
        <f>SUMPRODUCT(I20:I21,J20:J21)</f>
        <v>0</v>
      </c>
      <c r="J22" s="93">
        <f>SUM(J20:J21)</f>
        <v>6</v>
      </c>
      <c r="K22" s="94"/>
      <c r="L22" s="64"/>
      <c r="M22" s="64"/>
    </row>
    <row r="23" spans="1:13" ht="18.75" customHeight="1">
      <c r="A23" s="95" t="s">
        <v>48</v>
      </c>
      <c r="B23" s="95"/>
      <c r="C23" s="256" t="s">
        <v>18</v>
      </c>
      <c r="D23" s="256"/>
      <c r="E23" s="43" t="s">
        <v>28</v>
      </c>
      <c r="F23" s="256" t="s">
        <v>18</v>
      </c>
      <c r="G23" s="256"/>
      <c r="H23" s="43"/>
      <c r="I23" s="256" t="s">
        <v>18</v>
      </c>
      <c r="J23" s="256"/>
      <c r="K23" s="43"/>
      <c r="L23" s="30"/>
      <c r="M23" s="30"/>
    </row>
    <row r="24" spans="1:13" ht="30.75">
      <c r="A24" s="96" t="s">
        <v>49</v>
      </c>
      <c r="B24" s="96" t="s">
        <v>50</v>
      </c>
      <c r="C24" s="97">
        <v>1</v>
      </c>
      <c r="D24" s="98">
        <v>1</v>
      </c>
      <c r="E24" s="99"/>
      <c r="F24" s="100">
        <v>0</v>
      </c>
      <c r="G24" s="101">
        <v>1</v>
      </c>
      <c r="H24" s="102"/>
      <c r="I24" s="103">
        <v>0</v>
      </c>
      <c r="J24" s="104">
        <v>1</v>
      </c>
      <c r="K24" s="105"/>
      <c r="L24" s="76"/>
      <c r="M24" s="76"/>
    </row>
    <row r="25" spans="1:13">
      <c r="A25" s="54" t="s">
        <v>51</v>
      </c>
      <c r="B25" s="54" t="s">
        <v>52</v>
      </c>
      <c r="C25" s="77">
        <v>1</v>
      </c>
      <c r="D25" s="78">
        <v>2</v>
      </c>
      <c r="E25" s="79"/>
      <c r="F25" s="80">
        <v>0</v>
      </c>
      <c r="G25" s="84">
        <v>2</v>
      </c>
      <c r="H25" s="81"/>
      <c r="I25" s="82">
        <v>0</v>
      </c>
      <c r="J25" s="85">
        <v>2</v>
      </c>
      <c r="K25" s="83"/>
      <c r="L25" s="76"/>
      <c r="M25" s="76"/>
    </row>
    <row r="26" spans="1:13">
      <c r="A26" s="54" t="s">
        <v>53</v>
      </c>
      <c r="B26" s="54" t="s">
        <v>54</v>
      </c>
      <c r="C26" s="77">
        <v>1</v>
      </c>
      <c r="D26" s="78">
        <v>1</v>
      </c>
      <c r="E26" s="79"/>
      <c r="F26" s="80">
        <v>0</v>
      </c>
      <c r="G26" s="84">
        <v>1</v>
      </c>
      <c r="H26" s="81"/>
      <c r="I26" s="82">
        <v>0</v>
      </c>
      <c r="J26" s="85">
        <v>1</v>
      </c>
      <c r="K26" s="83"/>
      <c r="L26" s="76"/>
      <c r="M26" s="76"/>
    </row>
    <row r="27" spans="1:13" s="65" customFormat="1" ht="15.75" customHeight="1">
      <c r="A27" s="260" t="s">
        <v>26</v>
      </c>
      <c r="B27" s="260"/>
      <c r="C27" s="55">
        <f>SUMPRODUCT(C24:C26,D24:D26)</f>
        <v>4</v>
      </c>
      <c r="D27" s="56">
        <f>SUM(D24:D26)</f>
        <v>4</v>
      </c>
      <c r="E27" s="57"/>
      <c r="F27" s="89">
        <f>SUMPRODUCT(F24:F26,G24:G26)</f>
        <v>0</v>
      </c>
      <c r="G27" s="90">
        <f>SUM(G24:G26)</f>
        <v>4</v>
      </c>
      <c r="H27" s="91"/>
      <c r="I27" s="92">
        <f>SUMPRODUCT(I24:I26,J24:J26)</f>
        <v>0</v>
      </c>
      <c r="J27" s="93">
        <f>SUM(J24:J26)</f>
        <v>4</v>
      </c>
      <c r="K27" s="94"/>
      <c r="L27" s="64"/>
      <c r="M27" s="64"/>
    </row>
    <row r="28" spans="1:13" ht="21" customHeight="1">
      <c r="A28" s="258" t="s">
        <v>55</v>
      </c>
      <c r="B28" s="258"/>
      <c r="C28" s="256" t="s">
        <v>18</v>
      </c>
      <c r="D28" s="256"/>
      <c r="E28" s="43" t="s">
        <v>19</v>
      </c>
      <c r="F28" s="256" t="s">
        <v>18</v>
      </c>
      <c r="G28" s="256"/>
      <c r="H28" s="106"/>
      <c r="I28" s="256" t="s">
        <v>18</v>
      </c>
      <c r="J28" s="256"/>
      <c r="K28" s="43"/>
      <c r="L28" s="107"/>
      <c r="M28" s="30"/>
    </row>
    <row r="29" spans="1:13" ht="60.75">
      <c r="A29" s="108" t="s">
        <v>56</v>
      </c>
      <c r="B29" s="108" t="s">
        <v>57</v>
      </c>
      <c r="C29" s="67">
        <v>0.25</v>
      </c>
      <c r="D29" s="68">
        <v>2</v>
      </c>
      <c r="E29" s="69" t="s">
        <v>58</v>
      </c>
      <c r="F29" s="70">
        <v>0</v>
      </c>
      <c r="G29" s="71">
        <f>D29</f>
        <v>2</v>
      </c>
      <c r="H29" s="109"/>
      <c r="I29" s="73">
        <v>0</v>
      </c>
      <c r="J29" s="74">
        <f>D29</f>
        <v>2</v>
      </c>
      <c r="K29" s="75"/>
      <c r="L29" s="76"/>
      <c r="M29" s="76"/>
    </row>
    <row r="30" spans="1:13">
      <c r="A30" s="110" t="s">
        <v>59</v>
      </c>
      <c r="B30" s="110" t="s">
        <v>60</v>
      </c>
      <c r="C30" s="77">
        <v>1</v>
      </c>
      <c r="D30" s="78">
        <v>2</v>
      </c>
      <c r="E30" s="79"/>
      <c r="F30" s="80">
        <v>0</v>
      </c>
      <c r="G30" s="71">
        <f>D30</f>
        <v>2</v>
      </c>
      <c r="H30" s="111"/>
      <c r="I30" s="82">
        <v>0</v>
      </c>
      <c r="J30" s="74">
        <f>D30</f>
        <v>2</v>
      </c>
      <c r="K30" s="83"/>
      <c r="L30" s="76"/>
      <c r="M30" s="76"/>
    </row>
    <row r="31" spans="1:13" ht="30.75">
      <c r="A31" s="110" t="s">
        <v>61</v>
      </c>
      <c r="B31" s="110" t="s">
        <v>62</v>
      </c>
      <c r="C31" s="77">
        <v>1</v>
      </c>
      <c r="D31" s="78">
        <v>2</v>
      </c>
      <c r="E31" s="79"/>
      <c r="F31" s="80">
        <v>0</v>
      </c>
      <c r="G31" s="71">
        <f>D31</f>
        <v>2</v>
      </c>
      <c r="H31" s="111"/>
      <c r="I31" s="82">
        <v>0</v>
      </c>
      <c r="J31" s="74">
        <f>D31</f>
        <v>2</v>
      </c>
      <c r="K31" s="83"/>
      <c r="L31" s="76"/>
      <c r="M31" s="76"/>
    </row>
    <row r="32" spans="1:13" s="65" customFormat="1" ht="15.75" customHeight="1">
      <c r="A32" s="257" t="s">
        <v>26</v>
      </c>
      <c r="B32" s="257"/>
      <c r="C32" s="55">
        <f>SUMPRODUCT(C29:C31,D29:D31)</f>
        <v>4.5</v>
      </c>
      <c r="D32" s="56">
        <f>SUM(D29:D31)</f>
        <v>6</v>
      </c>
      <c r="E32" s="57"/>
      <c r="F32" s="58">
        <f>SUMPRODUCT(F29:F31,G29:G31)</f>
        <v>0</v>
      </c>
      <c r="G32" s="59">
        <f>SUM(G29:G31)</f>
        <v>6</v>
      </c>
      <c r="H32" s="112"/>
      <c r="I32" s="92">
        <f>SUMPRODUCT(I29:I31,J29:J31)</f>
        <v>0</v>
      </c>
      <c r="J32" s="93">
        <f>SUM(J29:J31)</f>
        <v>6</v>
      </c>
      <c r="K32" s="94"/>
      <c r="L32" s="64"/>
      <c r="M32" s="64"/>
    </row>
    <row r="33" spans="1:13" ht="18.75" customHeight="1">
      <c r="A33" s="255" t="s">
        <v>63</v>
      </c>
      <c r="B33" s="255"/>
      <c r="C33" s="256" t="s">
        <v>18</v>
      </c>
      <c r="D33" s="256"/>
      <c r="E33" s="43" t="s">
        <v>28</v>
      </c>
      <c r="F33" s="256" t="s">
        <v>18</v>
      </c>
      <c r="G33" s="256"/>
      <c r="H33" s="43"/>
      <c r="I33" s="113" t="s">
        <v>18</v>
      </c>
      <c r="J33" s="106"/>
      <c r="K33" s="43"/>
      <c r="L33" s="114"/>
      <c r="M33" s="30"/>
    </row>
    <row r="34" spans="1:13" ht="183">
      <c r="A34" s="44" t="s">
        <v>64</v>
      </c>
      <c r="B34" s="44" t="s">
        <v>65</v>
      </c>
      <c r="C34" s="67">
        <v>0</v>
      </c>
      <c r="D34" s="68">
        <v>2</v>
      </c>
      <c r="E34" s="69" t="s">
        <v>66</v>
      </c>
      <c r="F34" s="70">
        <v>0</v>
      </c>
      <c r="G34" s="71">
        <v>2</v>
      </c>
      <c r="H34" s="72"/>
      <c r="I34" s="73">
        <v>0</v>
      </c>
      <c r="J34" s="74">
        <v>2</v>
      </c>
      <c r="K34" s="75"/>
      <c r="L34" s="76"/>
      <c r="M34" s="76"/>
    </row>
    <row r="35" spans="1:13">
      <c r="A35" s="54" t="s">
        <v>67</v>
      </c>
      <c r="B35" s="54" t="s">
        <v>68</v>
      </c>
      <c r="C35" s="77">
        <v>1</v>
      </c>
      <c r="D35" s="78">
        <v>2</v>
      </c>
      <c r="E35" s="79"/>
      <c r="F35" s="80">
        <v>0</v>
      </c>
      <c r="G35" s="84">
        <v>2</v>
      </c>
      <c r="H35" s="81"/>
      <c r="I35" s="82">
        <v>0</v>
      </c>
      <c r="J35" s="85">
        <v>2</v>
      </c>
      <c r="K35" s="83"/>
      <c r="L35" s="76"/>
      <c r="M35" s="76"/>
    </row>
    <row r="36" spans="1:13" ht="45.75">
      <c r="A36" s="54" t="s">
        <v>69</v>
      </c>
      <c r="B36" s="54" t="s">
        <v>70</v>
      </c>
      <c r="C36" s="77">
        <v>0.8</v>
      </c>
      <c r="D36" s="78">
        <v>3</v>
      </c>
      <c r="E36" s="79" t="s">
        <v>71</v>
      </c>
      <c r="F36" s="80">
        <v>0</v>
      </c>
      <c r="G36" s="84">
        <v>3</v>
      </c>
      <c r="H36" s="81"/>
      <c r="I36" s="82">
        <v>0</v>
      </c>
      <c r="J36" s="85">
        <v>3</v>
      </c>
      <c r="K36" s="83"/>
      <c r="L36" s="76"/>
      <c r="M36" s="76"/>
    </row>
    <row r="37" spans="1:13" ht="45.75">
      <c r="A37" s="54" t="s">
        <v>72</v>
      </c>
      <c r="B37" s="54" t="s">
        <v>73</v>
      </c>
      <c r="C37" s="77">
        <v>1</v>
      </c>
      <c r="D37" s="78">
        <v>3</v>
      </c>
      <c r="E37" s="79"/>
      <c r="F37" s="80">
        <v>0</v>
      </c>
      <c r="G37" s="84">
        <v>3</v>
      </c>
      <c r="H37" s="81"/>
      <c r="I37" s="82">
        <v>0</v>
      </c>
      <c r="J37" s="85">
        <v>3</v>
      </c>
      <c r="K37" s="83"/>
      <c r="L37" s="76"/>
      <c r="M37" s="76"/>
    </row>
    <row r="38" spans="1:13" s="65" customFormat="1" ht="15.75" customHeight="1">
      <c r="A38" s="257" t="s">
        <v>26</v>
      </c>
      <c r="B38" s="257"/>
      <c r="C38" s="115">
        <f>SUMPRODUCT(C34:C37,D34:D37)</f>
        <v>7.4</v>
      </c>
      <c r="D38" s="56">
        <f>SUM(D34:D37)</f>
        <v>10</v>
      </c>
      <c r="E38" s="57"/>
      <c r="F38" s="116">
        <f>SUMPRODUCT(F34:F37,G34:G37)</f>
        <v>0</v>
      </c>
      <c r="G38" s="59">
        <f>SUM(G34:G37)</f>
        <v>10</v>
      </c>
      <c r="H38" s="60"/>
      <c r="I38" s="92">
        <f>SUMPRODUCT(I34:I37,J34:J37)</f>
        <v>0</v>
      </c>
      <c r="J38" s="93">
        <f>SUM(J34:J37)</f>
        <v>10</v>
      </c>
      <c r="K38" s="94"/>
      <c r="L38" s="64"/>
      <c r="M38" s="64"/>
    </row>
    <row r="39" spans="1:13" ht="18.75" customHeight="1">
      <c r="A39" s="1" t="s">
        <v>74</v>
      </c>
      <c r="B39" s="1"/>
      <c r="C39" s="256" t="s">
        <v>18</v>
      </c>
      <c r="D39" s="256"/>
      <c r="E39" s="106" t="s">
        <v>75</v>
      </c>
      <c r="F39" s="256" t="s">
        <v>18</v>
      </c>
      <c r="G39" s="256"/>
      <c r="H39" s="43"/>
      <c r="I39" s="256" t="s">
        <v>18</v>
      </c>
      <c r="J39" s="256"/>
      <c r="K39" s="43"/>
      <c r="L39" s="30"/>
      <c r="M39" s="30"/>
    </row>
    <row r="40" spans="1:13" ht="91.5">
      <c r="A40" s="54" t="s">
        <v>76</v>
      </c>
      <c r="B40" s="54" t="s">
        <v>77</v>
      </c>
      <c r="C40" s="77">
        <v>0.25</v>
      </c>
      <c r="D40" s="78">
        <v>2</v>
      </c>
      <c r="E40" s="79" t="s">
        <v>78</v>
      </c>
      <c r="F40" s="80">
        <v>0</v>
      </c>
      <c r="G40" s="84">
        <f>D40</f>
        <v>2</v>
      </c>
      <c r="H40" s="81"/>
      <c r="I40" s="82">
        <v>0</v>
      </c>
      <c r="J40" s="85">
        <f>D40</f>
        <v>2</v>
      </c>
      <c r="K40" s="83"/>
      <c r="L40" s="76"/>
      <c r="M40" s="76"/>
    </row>
    <row r="41" spans="1:13" ht="60.75">
      <c r="A41" s="54" t="s">
        <v>79</v>
      </c>
      <c r="B41" s="54" t="s">
        <v>80</v>
      </c>
      <c r="C41" s="77">
        <v>0</v>
      </c>
      <c r="D41" s="78">
        <v>2</v>
      </c>
      <c r="E41" s="79" t="s">
        <v>81</v>
      </c>
      <c r="F41" s="80">
        <v>0</v>
      </c>
      <c r="G41" s="84">
        <f>D41</f>
        <v>2</v>
      </c>
      <c r="H41" s="81"/>
      <c r="I41" s="82">
        <v>0</v>
      </c>
      <c r="J41" s="85">
        <f>D41</f>
        <v>2</v>
      </c>
      <c r="K41" s="83"/>
      <c r="L41" s="76"/>
      <c r="M41" s="76"/>
    </row>
    <row r="42" spans="1:13" ht="45.75">
      <c r="A42" s="54" t="s">
        <v>82</v>
      </c>
      <c r="B42" s="54" t="s">
        <v>83</v>
      </c>
      <c r="C42" s="77">
        <v>0.8</v>
      </c>
      <c r="D42" s="78">
        <v>2</v>
      </c>
      <c r="E42" s="79" t="s">
        <v>84</v>
      </c>
      <c r="F42" s="80">
        <v>0</v>
      </c>
      <c r="G42" s="84">
        <f>D42</f>
        <v>2</v>
      </c>
      <c r="H42" s="81"/>
      <c r="I42" s="82">
        <v>0</v>
      </c>
      <c r="J42" s="85">
        <f>D42</f>
        <v>2</v>
      </c>
      <c r="K42" s="83"/>
      <c r="L42" s="76"/>
    </row>
    <row r="43" spans="1:13" ht="121.5">
      <c r="A43" s="54" t="s">
        <v>85</v>
      </c>
      <c r="B43" s="54" t="s">
        <v>86</v>
      </c>
      <c r="C43" s="77">
        <v>0</v>
      </c>
      <c r="D43" s="78">
        <v>4</v>
      </c>
      <c r="E43" s="79" t="s">
        <v>87</v>
      </c>
      <c r="F43" s="80">
        <v>0</v>
      </c>
      <c r="G43" s="84">
        <f>D43</f>
        <v>4</v>
      </c>
      <c r="H43" s="81"/>
      <c r="I43" s="82">
        <v>0</v>
      </c>
      <c r="J43" s="85">
        <f>D43</f>
        <v>4</v>
      </c>
      <c r="K43" s="83"/>
      <c r="L43" s="76"/>
      <c r="M43" s="76"/>
    </row>
    <row r="44" spans="1:13" ht="91.5">
      <c r="A44" s="54" t="s">
        <v>88</v>
      </c>
      <c r="B44" s="54" t="s">
        <v>89</v>
      </c>
      <c r="C44" s="77">
        <v>0.6</v>
      </c>
      <c r="D44" s="78">
        <v>6</v>
      </c>
      <c r="E44" s="79" t="s">
        <v>90</v>
      </c>
      <c r="F44" s="80">
        <v>0</v>
      </c>
      <c r="G44" s="84">
        <f>D44</f>
        <v>6</v>
      </c>
      <c r="H44" s="81"/>
      <c r="I44" s="82">
        <v>0</v>
      </c>
      <c r="J44" s="85">
        <f>D44</f>
        <v>6</v>
      </c>
      <c r="K44" s="83"/>
      <c r="L44" s="76"/>
      <c r="M44" s="76"/>
    </row>
    <row r="45" spans="1:13" ht="45.75">
      <c r="A45" s="54" t="s">
        <v>91</v>
      </c>
      <c r="B45" s="54" t="s">
        <v>92</v>
      </c>
      <c r="C45" s="77">
        <v>0.75</v>
      </c>
      <c r="D45" s="78">
        <v>8</v>
      </c>
      <c r="E45" s="79" t="s">
        <v>93</v>
      </c>
      <c r="F45" s="80">
        <v>0</v>
      </c>
      <c r="G45" s="84">
        <f>D45</f>
        <v>8</v>
      </c>
      <c r="H45" s="81"/>
      <c r="I45" s="82">
        <v>0</v>
      </c>
      <c r="J45" s="85">
        <f>D45</f>
        <v>8</v>
      </c>
      <c r="K45" s="83"/>
      <c r="L45" s="76"/>
      <c r="M45" s="76"/>
    </row>
    <row r="46" spans="1:13" ht="30.75">
      <c r="A46" s="54" t="s">
        <v>94</v>
      </c>
      <c r="B46" s="54" t="s">
        <v>95</v>
      </c>
      <c r="C46" s="77">
        <v>1</v>
      </c>
      <c r="D46" s="78">
        <v>6</v>
      </c>
      <c r="E46" s="79"/>
      <c r="F46" s="80">
        <v>0</v>
      </c>
      <c r="G46" s="84">
        <f>D46</f>
        <v>6</v>
      </c>
      <c r="H46" s="81"/>
      <c r="I46" s="82">
        <v>0</v>
      </c>
      <c r="J46" s="85">
        <f>D46</f>
        <v>6</v>
      </c>
      <c r="K46" s="83"/>
      <c r="L46" s="76"/>
      <c r="M46" s="76"/>
    </row>
    <row r="47" spans="1:13" ht="106.5">
      <c r="A47" s="54" t="s">
        <v>96</v>
      </c>
      <c r="B47" s="54" t="s">
        <v>97</v>
      </c>
      <c r="C47" s="77">
        <v>0.2</v>
      </c>
      <c r="D47" s="78">
        <v>6</v>
      </c>
      <c r="E47" s="79" t="s">
        <v>98</v>
      </c>
      <c r="F47" s="80">
        <v>0</v>
      </c>
      <c r="G47" s="84">
        <f>D47</f>
        <v>6</v>
      </c>
      <c r="H47" s="81"/>
      <c r="I47" s="82">
        <v>0</v>
      </c>
      <c r="J47" s="85">
        <f>D47</f>
        <v>6</v>
      </c>
      <c r="K47" s="83"/>
      <c r="L47" s="76"/>
      <c r="M47" s="76"/>
    </row>
    <row r="48" spans="1:13">
      <c r="A48" s="117" t="s">
        <v>99</v>
      </c>
      <c r="B48" s="54" t="s">
        <v>100</v>
      </c>
      <c r="C48" s="77">
        <v>1</v>
      </c>
      <c r="D48" s="78">
        <v>4</v>
      </c>
      <c r="E48" s="79"/>
      <c r="F48" s="80">
        <v>0</v>
      </c>
      <c r="G48" s="84">
        <f>D48</f>
        <v>4</v>
      </c>
      <c r="H48" s="81"/>
      <c r="I48" s="82">
        <v>0</v>
      </c>
      <c r="J48" s="85">
        <f>D48</f>
        <v>4</v>
      </c>
      <c r="K48" s="83"/>
      <c r="L48" s="76"/>
      <c r="M48" s="76"/>
    </row>
    <row r="49" spans="1:13" s="65" customFormat="1" ht="15.75" customHeight="1">
      <c r="A49" s="257" t="s">
        <v>26</v>
      </c>
      <c r="B49" s="257"/>
      <c r="C49" s="118">
        <f>SUMPRODUCT(C40:C48,D40:D48)</f>
        <v>22.9</v>
      </c>
      <c r="D49" s="87">
        <f>SUM(D40:D48)</f>
        <v>40</v>
      </c>
      <c r="E49" s="88"/>
      <c r="F49" s="116">
        <f>SUMPRODUCT(F40:F48,G40:G48)</f>
        <v>0</v>
      </c>
      <c r="G49" s="59">
        <f>SUM(G40:G48)</f>
        <v>40</v>
      </c>
      <c r="H49" s="60"/>
      <c r="I49" s="61">
        <f>SUMPRODUCT(I40:I48,J40:J48)</f>
        <v>0</v>
      </c>
      <c r="J49" s="62">
        <f>SUM(J40:J48)</f>
        <v>40</v>
      </c>
      <c r="K49" s="63"/>
      <c r="L49" s="64"/>
      <c r="M49" s="64"/>
    </row>
    <row r="50" spans="1:13" ht="18" customHeight="1">
      <c r="A50" s="255" t="s">
        <v>101</v>
      </c>
      <c r="B50" s="255"/>
      <c r="C50" s="256" t="s">
        <v>18</v>
      </c>
      <c r="D50" s="256"/>
      <c r="E50" s="106" t="s">
        <v>75</v>
      </c>
      <c r="F50" s="256" t="s">
        <v>18</v>
      </c>
      <c r="G50" s="256"/>
      <c r="H50" s="43"/>
      <c r="I50" s="256" t="s">
        <v>18</v>
      </c>
      <c r="J50" s="256"/>
      <c r="K50" s="43"/>
      <c r="L50" s="114"/>
      <c r="M50" s="30"/>
    </row>
    <row r="51" spans="1:13">
      <c r="A51" s="44" t="s">
        <v>102</v>
      </c>
      <c r="B51" s="44" t="s">
        <v>103</v>
      </c>
      <c r="C51" s="67">
        <v>1</v>
      </c>
      <c r="D51" s="68">
        <v>2</v>
      </c>
      <c r="E51" s="69"/>
      <c r="F51" s="100">
        <v>0</v>
      </c>
      <c r="G51" s="101">
        <v>2</v>
      </c>
      <c r="H51" s="102"/>
      <c r="I51" s="103">
        <v>0</v>
      </c>
      <c r="J51" s="104">
        <v>2</v>
      </c>
      <c r="K51" s="105"/>
      <c r="L51" s="76"/>
      <c r="M51" s="76"/>
    </row>
    <row r="52" spans="1:13" ht="137.25">
      <c r="A52" s="54" t="s">
        <v>104</v>
      </c>
      <c r="B52" s="54" t="s">
        <v>105</v>
      </c>
      <c r="C52" s="77">
        <v>0.4</v>
      </c>
      <c r="D52" s="78">
        <v>2</v>
      </c>
      <c r="E52" s="79" t="s">
        <v>106</v>
      </c>
      <c r="F52" s="80">
        <v>0</v>
      </c>
      <c r="G52" s="84">
        <v>2</v>
      </c>
      <c r="H52" s="81"/>
      <c r="I52" s="82">
        <v>0</v>
      </c>
      <c r="J52" s="85">
        <v>2</v>
      </c>
      <c r="K52" s="83"/>
      <c r="L52" s="76"/>
      <c r="M52" s="76"/>
    </row>
    <row r="53" spans="1:13" ht="30.75">
      <c r="A53" s="54" t="s">
        <v>107</v>
      </c>
      <c r="B53" s="54" t="s">
        <v>108</v>
      </c>
      <c r="C53" s="77">
        <v>1</v>
      </c>
      <c r="D53" s="78">
        <v>1</v>
      </c>
      <c r="E53" s="79"/>
      <c r="F53" s="80">
        <v>0</v>
      </c>
      <c r="G53" s="84">
        <v>1</v>
      </c>
      <c r="H53" s="81"/>
      <c r="I53" s="82">
        <v>0</v>
      </c>
      <c r="J53" s="85">
        <v>1</v>
      </c>
      <c r="K53" s="83"/>
      <c r="L53" s="76"/>
      <c r="M53" s="76"/>
    </row>
    <row r="54" spans="1:13" ht="45.75">
      <c r="A54" s="54" t="s">
        <v>109</v>
      </c>
      <c r="B54" s="54" t="s">
        <v>110</v>
      </c>
      <c r="C54" s="77">
        <v>1</v>
      </c>
      <c r="D54" s="78">
        <v>4</v>
      </c>
      <c r="E54" s="79"/>
      <c r="F54" s="80">
        <v>0</v>
      </c>
      <c r="G54" s="84">
        <v>4</v>
      </c>
      <c r="H54" s="81"/>
      <c r="I54" s="82">
        <v>0</v>
      </c>
      <c r="J54" s="85">
        <v>4</v>
      </c>
      <c r="K54" s="83"/>
      <c r="L54" s="76"/>
      <c r="M54" s="76"/>
    </row>
    <row r="55" spans="1:13" ht="30.75">
      <c r="A55" s="54" t="s">
        <v>111</v>
      </c>
      <c r="B55" s="54" t="s">
        <v>112</v>
      </c>
      <c r="C55" s="77">
        <v>1</v>
      </c>
      <c r="D55" s="78">
        <v>2</v>
      </c>
      <c r="E55" s="79"/>
      <c r="F55" s="80">
        <v>0</v>
      </c>
      <c r="G55" s="84">
        <v>2</v>
      </c>
      <c r="H55" s="81"/>
      <c r="I55" s="82">
        <v>0</v>
      </c>
      <c r="J55" s="85">
        <v>2</v>
      </c>
      <c r="K55" s="83"/>
      <c r="L55" s="119"/>
      <c r="M55" s="76"/>
    </row>
    <row r="56" spans="1:13" s="65" customFormat="1" ht="15.75" customHeight="1">
      <c r="A56" s="257" t="s">
        <v>26</v>
      </c>
      <c r="B56" s="257"/>
      <c r="C56" s="86">
        <f>SUMPRODUCT(C51:C55,D51:D55)</f>
        <v>9.8000000000000007</v>
      </c>
      <c r="D56" s="87">
        <f>SUM(D51:D55)</f>
        <v>11</v>
      </c>
      <c r="E56" s="88"/>
      <c r="F56" s="89">
        <f>SUMPRODUCT(F51:F55,G51:G55)</f>
        <v>0</v>
      </c>
      <c r="G56" s="90">
        <f>SUM(G51:G55)</f>
        <v>11</v>
      </c>
      <c r="H56" s="91"/>
      <c r="I56" s="61">
        <f>SUMPRODUCT(I51:I55,J51:J55)</f>
        <v>0</v>
      </c>
      <c r="J56" s="62">
        <f>SUM(J51:J55)</f>
        <v>11</v>
      </c>
      <c r="K56" s="63"/>
      <c r="L56" s="64"/>
      <c r="M56" s="64"/>
    </row>
    <row r="57" spans="1:13" ht="18.75" customHeight="1">
      <c r="A57" s="261" t="s">
        <v>3</v>
      </c>
      <c r="B57" s="261"/>
      <c r="C57" s="261"/>
      <c r="D57" s="261"/>
      <c r="E57" s="261"/>
      <c r="F57" s="261"/>
      <c r="G57" s="261"/>
      <c r="H57" s="261"/>
      <c r="I57" s="261"/>
      <c r="J57" s="261"/>
      <c r="K57" s="261"/>
      <c r="L57" s="30"/>
      <c r="M57" s="30"/>
    </row>
    <row r="58" spans="1:13" ht="15" customHeight="1">
      <c r="A58" s="262" t="s">
        <v>113</v>
      </c>
      <c r="B58" s="262"/>
      <c r="C58" s="120">
        <f>C11+C18+C22+C27+C32+C38+C49+C56</f>
        <v>67.95</v>
      </c>
      <c r="D58" s="98">
        <f>D11+D18+D22+D27+D32+D38+D49+D56</f>
        <v>100</v>
      </c>
      <c r="E58" s="99"/>
      <c r="F58" s="121">
        <f>F11+F18+F22+F27+F32+F38+F49+F56</f>
        <v>0</v>
      </c>
      <c r="G58" s="101">
        <f>G11+G18+G22+G27+G32+G38+G49+G56</f>
        <v>100</v>
      </c>
      <c r="H58" s="102"/>
      <c r="I58" s="122">
        <f>I11+I18+I22+I27+I32+I38+I49+I56</f>
        <v>0</v>
      </c>
      <c r="J58" s="123">
        <f>J11+J18+J22+J27+J32+J38+J49+J56</f>
        <v>100</v>
      </c>
      <c r="K58" s="124"/>
      <c r="L58" s="119"/>
      <c r="M58" s="76"/>
    </row>
    <row r="59" spans="1:13" s="65" customFormat="1" ht="15.75" customHeight="1">
      <c r="A59" s="263" t="s">
        <v>114</v>
      </c>
      <c r="B59" s="263"/>
      <c r="C59" s="264">
        <f>C58/D58</f>
        <v>0.67949999999999999</v>
      </c>
      <c r="D59" s="264"/>
      <c r="E59" s="264"/>
      <c r="F59" s="265">
        <f>F58/G58</f>
        <v>0</v>
      </c>
      <c r="G59" s="265"/>
      <c r="H59" s="265"/>
      <c r="I59" s="266">
        <f>I58/J58</f>
        <v>0</v>
      </c>
      <c r="J59" s="266"/>
      <c r="K59" s="266"/>
      <c r="L59" s="125"/>
      <c r="M59" s="125"/>
    </row>
  </sheetData>
  <mergeCells count="51">
    <mergeCell ref="A56:B56"/>
    <mergeCell ref="A57:K57"/>
    <mergeCell ref="A58:B58"/>
    <mergeCell ref="A59:B59"/>
    <mergeCell ref="C59:E59"/>
    <mergeCell ref="F59:H59"/>
    <mergeCell ref="I59:K59"/>
    <mergeCell ref="I39:J39"/>
    <mergeCell ref="A49:B49"/>
    <mergeCell ref="A50:B50"/>
    <mergeCell ref="C50:D50"/>
    <mergeCell ref="F50:G50"/>
    <mergeCell ref="I50:J50"/>
    <mergeCell ref="A33:B33"/>
    <mergeCell ref="C33:D33"/>
    <mergeCell ref="F33:G33"/>
    <mergeCell ref="A38:B38"/>
    <mergeCell ref="C39:D39"/>
    <mergeCell ref="F39:G39"/>
    <mergeCell ref="A28:B28"/>
    <mergeCell ref="C28:D28"/>
    <mergeCell ref="F28:G28"/>
    <mergeCell ref="I28:J28"/>
    <mergeCell ref="A32:B32"/>
    <mergeCell ref="A22:B22"/>
    <mergeCell ref="C23:D23"/>
    <mergeCell ref="F23:G23"/>
    <mergeCell ref="I23:J23"/>
    <mergeCell ref="A27:B27"/>
    <mergeCell ref="A18:B18"/>
    <mergeCell ref="A19:B19"/>
    <mergeCell ref="C19:D19"/>
    <mergeCell ref="F19:G19"/>
    <mergeCell ref="I19:J19"/>
    <mergeCell ref="A11:B11"/>
    <mergeCell ref="A12:B12"/>
    <mergeCell ref="C12:D12"/>
    <mergeCell ref="F12:G12"/>
    <mergeCell ref="I12:J12"/>
    <mergeCell ref="N6:P6"/>
    <mergeCell ref="A8:B8"/>
    <mergeCell ref="C8:D8"/>
    <mergeCell ref="F8:G8"/>
    <mergeCell ref="I8:J8"/>
    <mergeCell ref="A2:K2"/>
    <mergeCell ref="A4:K4"/>
    <mergeCell ref="A6:A7"/>
    <mergeCell ref="B6:B7"/>
    <mergeCell ref="C6:E6"/>
    <mergeCell ref="F6:H6"/>
    <mergeCell ref="I6:K6"/>
  </mergeCells>
  <dataValidations count="2">
    <dataValidation type="decimal" allowBlank="1" showInputMessage="1" showErrorMessage="1" sqref="C9:C10 F9:F10 I9:I10 L11 C13:C17 F13:F17 I13:I17 L18 C20:C21 F20:F21 I20:I21 L22 C24:C26 F24:F26 I24:I26 L27 C29:C31 F29:F31 I29:I31 L32 C34:C37 F34:F37 I34:I37 L38 C40:C48 F40:F48 I40:I48 L49 C51:C55 F51:F55 I51:I55" xr:uid="{00000000-0002-0000-0100-000000000000}">
      <formula1>0</formula1>
      <formula2>1</formula2>
    </dataValidation>
    <dataValidation type="decimal" allowBlank="1" showInputMessage="1" showErrorMessage="1" error="Les évaluations sont faites en terme de pourcentage. Veuillez entrer une valeur entre 0 et 1" sqref="L13:L17 L20:L21 L24:L26 L29:L31 L34:L37 L40:L48 L51:L55" xr:uid="{00000000-0002-0000-0100-000001000000}">
      <formula1>0</formula1>
      <formula2>1</formula2>
    </dataValidation>
  </dataValidation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MI48"/>
  <sheetViews>
    <sheetView tabSelected="1" zoomScale="120" zoomScaleNormal="120" workbookViewId="0">
      <selection activeCell="K14" sqref="K14"/>
    </sheetView>
  </sheetViews>
  <sheetFormatPr defaultColWidth="9.140625" defaultRowHeight="15"/>
  <cols>
    <col min="1" max="1" width="50.5703125" style="126" customWidth="1"/>
    <col min="2" max="2" width="9.140625" style="126"/>
    <col min="3" max="3" width="9.85546875" style="126" customWidth="1"/>
    <col min="4" max="5" width="11" style="126" customWidth="1"/>
    <col min="6" max="6" width="54.85546875" style="126" customWidth="1"/>
    <col min="7" max="7" width="9.140625" style="126"/>
    <col min="8" max="8" width="22.85546875" style="126" customWidth="1"/>
    <col min="9" max="10" width="9.140625" style="126"/>
    <col min="11" max="11" width="16.85546875" style="126" customWidth="1"/>
    <col min="12" max="12" width="56.7109375" style="126" customWidth="1"/>
    <col min="13" max="1023" width="9.140625" style="126"/>
  </cols>
  <sheetData>
    <row r="2" spans="1:12" ht="18.75">
      <c r="A2" s="267" t="s">
        <v>115</v>
      </c>
      <c r="B2" s="267"/>
      <c r="C2" s="267"/>
      <c r="D2" s="267"/>
      <c r="E2" s="267"/>
      <c r="F2" s="267"/>
    </row>
    <row r="3" spans="1:12">
      <c r="A3" s="127"/>
      <c r="B3" s="127"/>
      <c r="C3" s="128"/>
      <c r="D3" s="127"/>
      <c r="E3" s="127"/>
      <c r="F3" s="128"/>
    </row>
    <row r="4" spans="1:12" ht="18.75">
      <c r="A4" s="129" t="s">
        <v>0</v>
      </c>
      <c r="B4" s="129"/>
      <c r="C4" s="129"/>
      <c r="D4" s="129"/>
      <c r="E4" s="129"/>
      <c r="F4" s="129"/>
    </row>
    <row r="6" spans="1:12" ht="23.25">
      <c r="A6" s="268" t="s">
        <v>7</v>
      </c>
      <c r="B6" s="268"/>
      <c r="C6" s="268"/>
      <c r="D6" s="268"/>
      <c r="E6" s="268"/>
      <c r="F6" s="268"/>
      <c r="H6" s="242" t="s">
        <v>116</v>
      </c>
    </row>
    <row r="7" spans="1:12">
      <c r="A7" s="130" t="s">
        <v>117</v>
      </c>
      <c r="B7" s="131" t="s">
        <v>15</v>
      </c>
      <c r="C7" s="131" t="s">
        <v>5</v>
      </c>
      <c r="D7" s="131" t="s">
        <v>118</v>
      </c>
      <c r="E7" s="131" t="s">
        <v>18</v>
      </c>
      <c r="F7" s="132" t="s">
        <v>16</v>
      </c>
    </row>
    <row r="8" spans="1:12">
      <c r="A8" s="133" t="s">
        <v>119</v>
      </c>
      <c r="B8" s="134">
        <v>1</v>
      </c>
      <c r="C8" s="134">
        <v>5</v>
      </c>
      <c r="D8" s="134">
        <f>B8*C8</f>
        <v>5</v>
      </c>
      <c r="E8" s="134" t="s">
        <v>19</v>
      </c>
      <c r="F8" s="135"/>
      <c r="I8" s="242" t="s">
        <v>15</v>
      </c>
      <c r="J8" s="242" t="s">
        <v>5</v>
      </c>
      <c r="K8" s="242" t="s">
        <v>118</v>
      </c>
      <c r="L8" s="242" t="s">
        <v>16</v>
      </c>
    </row>
    <row r="9" spans="1:12">
      <c r="A9" s="136" t="s">
        <v>120</v>
      </c>
      <c r="B9" s="137">
        <v>1</v>
      </c>
      <c r="C9" s="137">
        <v>15</v>
      </c>
      <c r="D9" s="137">
        <f>B9*C9</f>
        <v>15</v>
      </c>
      <c r="E9" s="137" t="s">
        <v>19</v>
      </c>
      <c r="F9" s="138"/>
      <c r="H9" s="126" t="s">
        <v>121</v>
      </c>
      <c r="I9" s="126">
        <v>1</v>
      </c>
      <c r="J9" s="126">
        <v>10</v>
      </c>
      <c r="K9" s="126">
        <f>I9*J9</f>
        <v>10</v>
      </c>
      <c r="L9" s="28"/>
    </row>
    <row r="10" spans="1:12">
      <c r="A10" s="139" t="s">
        <v>122</v>
      </c>
      <c r="B10" s="134">
        <v>1</v>
      </c>
      <c r="C10" s="134">
        <v>20</v>
      </c>
      <c r="D10" s="134">
        <f>B10*C10</f>
        <v>20</v>
      </c>
      <c r="E10" s="134" t="s">
        <v>19</v>
      </c>
      <c r="F10" s="135"/>
      <c r="H10" s="126" t="s">
        <v>123</v>
      </c>
      <c r="I10" s="126">
        <v>1</v>
      </c>
      <c r="J10" s="126">
        <v>10</v>
      </c>
      <c r="K10" s="126">
        <f>I10*J10</f>
        <v>10</v>
      </c>
      <c r="L10" s="28"/>
    </row>
    <row r="11" spans="1:12" ht="60.75">
      <c r="A11" s="136" t="s">
        <v>124</v>
      </c>
      <c r="B11" s="137">
        <v>0.9</v>
      </c>
      <c r="C11" s="137">
        <v>20</v>
      </c>
      <c r="D11" s="137">
        <f>B11*C11</f>
        <v>18</v>
      </c>
      <c r="E11" s="137" t="s">
        <v>19</v>
      </c>
      <c r="F11" s="240" t="s">
        <v>125</v>
      </c>
      <c r="H11" s="126" t="s">
        <v>126</v>
      </c>
      <c r="I11" s="126">
        <v>1</v>
      </c>
      <c r="J11" s="126">
        <v>20</v>
      </c>
      <c r="K11" s="126">
        <f t="shared" ref="K11:K12" si="0">I11*J11</f>
        <v>20</v>
      </c>
      <c r="L11" s="28"/>
    </row>
    <row r="12" spans="1:12" ht="45.75">
      <c r="A12" s="133" t="s">
        <v>127</v>
      </c>
      <c r="B12" s="134">
        <v>0.9</v>
      </c>
      <c r="C12" s="134">
        <v>20</v>
      </c>
      <c r="D12" s="134">
        <f>B12*C12</f>
        <v>18</v>
      </c>
      <c r="E12" s="140" t="s">
        <v>19</v>
      </c>
      <c r="F12" s="241" t="s">
        <v>128</v>
      </c>
      <c r="H12" s="126" t="s">
        <v>129</v>
      </c>
      <c r="I12" s="126">
        <v>1</v>
      </c>
      <c r="J12" s="126">
        <v>60</v>
      </c>
      <c r="K12" s="126">
        <f>I12*J12</f>
        <v>60</v>
      </c>
      <c r="L12" s="243"/>
    </row>
    <row r="13" spans="1:12">
      <c r="A13" s="136" t="s">
        <v>130</v>
      </c>
      <c r="B13" s="137">
        <v>1</v>
      </c>
      <c r="C13" s="137">
        <v>20</v>
      </c>
      <c r="D13" s="137">
        <f>B13*C13</f>
        <v>20</v>
      </c>
      <c r="E13" s="137" t="s">
        <v>19</v>
      </c>
      <c r="F13" s="138"/>
      <c r="H13" s="242"/>
      <c r="I13"/>
      <c r="J13" s="244" t="s">
        <v>3</v>
      </c>
      <c r="K13" s="126">
        <f>SUM(K9:K12)</f>
        <v>100</v>
      </c>
    </row>
    <row r="14" spans="1:12">
      <c r="A14" s="141" t="s">
        <v>131</v>
      </c>
      <c r="B14" s="142"/>
      <c r="C14" s="142">
        <f>SUM(C8:C13)</f>
        <v>100</v>
      </c>
      <c r="D14" s="143">
        <f>(SUM(D8:D13)+D16+D17)/C14</f>
        <v>0.96</v>
      </c>
      <c r="E14" s="143"/>
      <c r="F14" s="144"/>
    </row>
    <row r="15" spans="1:12">
      <c r="A15" s="145" t="s">
        <v>132</v>
      </c>
      <c r="B15" s="146" t="s">
        <v>15</v>
      </c>
      <c r="C15" s="146" t="s">
        <v>5</v>
      </c>
      <c r="D15" s="147" t="s">
        <v>118</v>
      </c>
      <c r="E15" s="147"/>
      <c r="F15" s="148" t="s">
        <v>16</v>
      </c>
    </row>
    <row r="16" spans="1:12">
      <c r="A16" s="149" t="s">
        <v>133</v>
      </c>
      <c r="B16" s="150"/>
      <c r="C16" s="151">
        <v>-10</v>
      </c>
      <c r="D16" s="150">
        <f>B16*C16</f>
        <v>0</v>
      </c>
      <c r="E16" s="150"/>
      <c r="F16" s="152"/>
    </row>
    <row r="17" spans="1:6">
      <c r="A17" s="153" t="s">
        <v>134</v>
      </c>
      <c r="B17" s="154"/>
      <c r="C17" s="155">
        <v>-15</v>
      </c>
      <c r="D17" s="154">
        <f>B17*C17</f>
        <v>0</v>
      </c>
      <c r="E17" s="154"/>
      <c r="F17" s="156"/>
    </row>
    <row r="18" spans="1:6">
      <c r="A18" s="157" t="s">
        <v>135</v>
      </c>
      <c r="B18" s="158">
        <f>K13/100</f>
        <v>1</v>
      </c>
      <c r="C18" s="159">
        <v>10</v>
      </c>
      <c r="D18" s="160">
        <f>C18*B18/10</f>
        <v>1</v>
      </c>
      <c r="E18" s="246"/>
      <c r="F18" s="245" t="s">
        <v>136</v>
      </c>
    </row>
    <row r="19" spans="1:6">
      <c r="A19" s="161"/>
      <c r="B19" s="162"/>
      <c r="C19" s="163"/>
      <c r="D19" s="164"/>
      <c r="E19" s="162"/>
      <c r="F19" s="165"/>
    </row>
    <row r="20" spans="1:6" ht="23.25" customHeight="1">
      <c r="A20" s="269" t="s">
        <v>8</v>
      </c>
      <c r="B20" s="269"/>
      <c r="C20" s="269"/>
      <c r="D20" s="269"/>
      <c r="E20" s="269"/>
      <c r="F20" s="269"/>
    </row>
    <row r="21" spans="1:6">
      <c r="A21" s="166" t="s">
        <v>117</v>
      </c>
      <c r="B21" s="167" t="s">
        <v>15</v>
      </c>
      <c r="C21" s="167" t="s">
        <v>5</v>
      </c>
      <c r="D21" s="167" t="s">
        <v>118</v>
      </c>
      <c r="E21" s="168" t="s">
        <v>18</v>
      </c>
      <c r="F21" s="169" t="s">
        <v>16</v>
      </c>
    </row>
    <row r="22" spans="1:6">
      <c r="A22" s="170" t="s">
        <v>137</v>
      </c>
      <c r="B22" s="171"/>
      <c r="C22" s="171">
        <v>15</v>
      </c>
      <c r="D22" s="171">
        <f>B22*C22</f>
        <v>0</v>
      </c>
      <c r="E22" s="171"/>
      <c r="F22" s="172"/>
    </row>
    <row r="23" spans="1:6" ht="14.25">
      <c r="A23" s="173" t="s">
        <v>138</v>
      </c>
      <c r="B23" s="174"/>
      <c r="C23" s="174">
        <v>15</v>
      </c>
      <c r="D23" s="174">
        <f>B23*C23</f>
        <v>0</v>
      </c>
      <c r="E23" s="174"/>
      <c r="F23" s="175"/>
    </row>
    <row r="24" spans="1:6">
      <c r="A24" s="170" t="s">
        <v>139</v>
      </c>
      <c r="B24" s="171"/>
      <c r="C24" s="171">
        <v>20</v>
      </c>
      <c r="D24" s="171">
        <f>B24*C24</f>
        <v>0</v>
      </c>
      <c r="E24" s="171"/>
      <c r="F24" s="176"/>
    </row>
    <row r="25" spans="1:6">
      <c r="A25" s="177" t="s">
        <v>140</v>
      </c>
      <c r="B25" s="174"/>
      <c r="C25" s="174">
        <v>30</v>
      </c>
      <c r="D25" s="174">
        <f>B25*C25</f>
        <v>0</v>
      </c>
      <c r="E25" s="174"/>
      <c r="F25" s="175"/>
    </row>
    <row r="26" spans="1:6">
      <c r="A26" s="171" t="s">
        <v>141</v>
      </c>
      <c r="B26" s="171"/>
      <c r="C26" s="171">
        <v>10</v>
      </c>
      <c r="D26" s="171">
        <f>B26*C26</f>
        <v>0</v>
      </c>
      <c r="E26" s="171"/>
      <c r="F26" s="176"/>
    </row>
    <row r="27" spans="1:6">
      <c r="A27" s="174" t="s">
        <v>142</v>
      </c>
      <c r="B27" s="174"/>
      <c r="C27" s="174">
        <v>10</v>
      </c>
      <c r="D27" s="174">
        <f>B27*C27</f>
        <v>0</v>
      </c>
      <c r="E27" s="174"/>
      <c r="F27" s="175"/>
    </row>
    <row r="28" spans="1:6">
      <c r="A28" s="178" t="s">
        <v>131</v>
      </c>
      <c r="B28" s="179"/>
      <c r="C28" s="179">
        <f>SUM(C22:C27)</f>
        <v>100</v>
      </c>
      <c r="D28" s="180">
        <f>(SUM(D22:D27) + D30+D31+D32)/C28</f>
        <v>0</v>
      </c>
      <c r="E28" s="180"/>
      <c r="F28" s="181"/>
    </row>
    <row r="29" spans="1:6">
      <c r="A29" s="182" t="s">
        <v>132</v>
      </c>
      <c r="B29" s="183" t="s">
        <v>15</v>
      </c>
      <c r="C29" s="183" t="s">
        <v>5</v>
      </c>
      <c r="D29" s="184" t="s">
        <v>118</v>
      </c>
      <c r="E29" s="184"/>
      <c r="F29" s="185" t="s">
        <v>16</v>
      </c>
    </row>
    <row r="30" spans="1:6">
      <c r="A30" s="186" t="s">
        <v>133</v>
      </c>
      <c r="B30" s="187">
        <v>0</v>
      </c>
      <c r="C30" s="188">
        <v>-10</v>
      </c>
      <c r="D30" s="187">
        <f>B30*C30</f>
        <v>0</v>
      </c>
      <c r="E30" s="187"/>
      <c r="F30" s="189"/>
    </row>
    <row r="31" spans="1:6">
      <c r="A31" s="170" t="s">
        <v>143</v>
      </c>
      <c r="B31" s="190">
        <v>0</v>
      </c>
      <c r="C31" s="191">
        <v>-15</v>
      </c>
      <c r="D31" s="190">
        <f>B31*C31</f>
        <v>0</v>
      </c>
      <c r="E31" s="190"/>
      <c r="F31" s="192"/>
    </row>
    <row r="32" spans="1:6">
      <c r="A32" s="193" t="s">
        <v>144</v>
      </c>
      <c r="B32" s="194">
        <v>0</v>
      </c>
      <c r="C32" s="195">
        <v>-5</v>
      </c>
      <c r="D32" s="194">
        <f>B32*C32</f>
        <v>0</v>
      </c>
      <c r="E32" s="194"/>
      <c r="F32" s="196"/>
    </row>
    <row r="33" spans="1:6">
      <c r="A33" s="197" t="s">
        <v>135</v>
      </c>
      <c r="B33" s="198"/>
      <c r="C33" s="199">
        <v>10</v>
      </c>
      <c r="D33" s="200">
        <f>C33*B33/10</f>
        <v>0</v>
      </c>
      <c r="E33" s="198"/>
      <c r="F33" s="201"/>
    </row>
    <row r="34" spans="1:6">
      <c r="A34" s="202"/>
      <c r="B34" s="203"/>
      <c r="C34" s="204"/>
      <c r="D34" s="203"/>
      <c r="E34" s="203"/>
      <c r="F34" s="205"/>
    </row>
    <row r="35" spans="1:6" ht="23.25">
      <c r="A35" s="270" t="s">
        <v>9</v>
      </c>
      <c r="B35" s="270"/>
      <c r="C35" s="270"/>
      <c r="D35" s="270"/>
      <c r="E35" s="270"/>
      <c r="F35" s="270"/>
    </row>
    <row r="36" spans="1:6">
      <c r="A36" s="206" t="s">
        <v>117</v>
      </c>
      <c r="B36" s="207" t="s">
        <v>15</v>
      </c>
      <c r="C36" s="207" t="s">
        <v>5</v>
      </c>
      <c r="D36" s="207" t="s">
        <v>118</v>
      </c>
      <c r="E36" s="207" t="s">
        <v>18</v>
      </c>
      <c r="F36" s="208" t="s">
        <v>16</v>
      </c>
    </row>
    <row r="37" spans="1:6" ht="13.9">
      <c r="A37" s="209" t="s">
        <v>145</v>
      </c>
      <c r="B37" s="210"/>
      <c r="C37" s="210">
        <v>20</v>
      </c>
      <c r="D37" s="210">
        <f>B37*C37</f>
        <v>0</v>
      </c>
      <c r="E37" s="210"/>
      <c r="F37" s="211"/>
    </row>
    <row r="38" spans="1:6">
      <c r="A38" s="212" t="s">
        <v>146</v>
      </c>
      <c r="B38" s="213"/>
      <c r="C38" s="213">
        <v>20</v>
      </c>
      <c r="D38" s="213">
        <f>B38*C38</f>
        <v>0</v>
      </c>
      <c r="E38" s="213"/>
      <c r="F38" s="214"/>
    </row>
    <row r="39" spans="1:6">
      <c r="A39" s="215" t="s">
        <v>147</v>
      </c>
      <c r="B39" s="210"/>
      <c r="C39" s="210">
        <v>20</v>
      </c>
      <c r="D39" s="210">
        <f>B39*C39</f>
        <v>0</v>
      </c>
      <c r="E39" s="210"/>
      <c r="F39" s="216"/>
    </row>
    <row r="40" spans="1:6">
      <c r="A40" s="212" t="s">
        <v>148</v>
      </c>
      <c r="B40" s="213"/>
      <c r="C40" s="213">
        <v>15</v>
      </c>
      <c r="D40" s="213">
        <f>B40*C40</f>
        <v>0</v>
      </c>
      <c r="E40" s="213"/>
      <c r="F40" s="214"/>
    </row>
    <row r="41" spans="1:6">
      <c r="A41" s="215" t="s">
        <v>149</v>
      </c>
      <c r="B41" s="210"/>
      <c r="C41" s="210">
        <v>10</v>
      </c>
      <c r="D41" s="210">
        <f>B41*C41</f>
        <v>0</v>
      </c>
      <c r="E41" s="210"/>
      <c r="F41" s="216"/>
    </row>
    <row r="42" spans="1:6">
      <c r="A42" s="212" t="s">
        <v>150</v>
      </c>
      <c r="B42" s="213"/>
      <c r="C42" s="213">
        <v>15</v>
      </c>
      <c r="D42" s="213">
        <f>B42*C42</f>
        <v>0</v>
      </c>
      <c r="E42" s="213"/>
      <c r="F42" s="214"/>
    </row>
    <row r="43" spans="1:6">
      <c r="A43" s="217" t="s">
        <v>131</v>
      </c>
      <c r="B43" s="218"/>
      <c r="C43" s="218">
        <f>SUM(C37:C42)</f>
        <v>100</v>
      </c>
      <c r="D43" s="219">
        <f>(SUM(D37:D42) +D45+D46+D47)/C43</f>
        <v>0</v>
      </c>
      <c r="E43" s="219"/>
      <c r="F43" s="220"/>
    </row>
    <row r="44" spans="1:6">
      <c r="A44" s="221" t="s">
        <v>132</v>
      </c>
      <c r="B44" s="222" t="s">
        <v>15</v>
      </c>
      <c r="C44" s="222" t="s">
        <v>5</v>
      </c>
      <c r="D44" s="223" t="s">
        <v>118</v>
      </c>
      <c r="E44" s="223"/>
      <c r="F44" s="224" t="s">
        <v>16</v>
      </c>
    </row>
    <row r="45" spans="1:6">
      <c r="A45" s="225" t="s">
        <v>133</v>
      </c>
      <c r="B45" s="226">
        <v>0</v>
      </c>
      <c r="C45" s="227">
        <v>-10</v>
      </c>
      <c r="D45" s="226">
        <f>B45*C45</f>
        <v>0</v>
      </c>
      <c r="E45" s="226"/>
      <c r="F45" s="228"/>
    </row>
    <row r="46" spans="1:6">
      <c r="A46" s="215" t="s">
        <v>143</v>
      </c>
      <c r="B46" s="229">
        <v>0</v>
      </c>
      <c r="C46" s="230">
        <v>-15</v>
      </c>
      <c r="D46" s="229">
        <f>B46*C46</f>
        <v>0</v>
      </c>
      <c r="E46" s="229"/>
      <c r="F46" s="231"/>
    </row>
    <row r="47" spans="1:6">
      <c r="A47" s="232" t="s">
        <v>144</v>
      </c>
      <c r="B47" s="233">
        <v>0</v>
      </c>
      <c r="C47" s="234">
        <v>-5</v>
      </c>
      <c r="D47" s="233">
        <f>B47*C47</f>
        <v>0</v>
      </c>
      <c r="E47" s="233"/>
      <c r="F47" s="235"/>
    </row>
    <row r="48" spans="1:6">
      <c r="A48" s="217" t="s">
        <v>135</v>
      </c>
      <c r="B48" s="236"/>
      <c r="C48" s="237">
        <v>10</v>
      </c>
      <c r="D48" s="238">
        <f>C48*B48/10</f>
        <v>0</v>
      </c>
      <c r="E48" s="236"/>
      <c r="F48" s="239"/>
    </row>
  </sheetData>
  <mergeCells count="4">
    <mergeCell ref="A2:F2"/>
    <mergeCell ref="A6:F6"/>
    <mergeCell ref="A20:F20"/>
    <mergeCell ref="A35:F35"/>
  </mergeCells>
  <dataValidations count="2">
    <dataValidation type="decimal" allowBlank="1" showInputMessage="1" showErrorMessage="1" sqref="B8:B14 B16:B19 D17:E19 B22:B27 B30:B34 B37:B42 B45:B48" xr:uid="{00000000-0002-0000-0200-000000000000}">
      <formula1>0</formula1>
      <formula2>1</formula2>
    </dataValidation>
    <dataValidation type="whole" allowBlank="1" showInputMessage="1" showErrorMessage="1" sqref="D31:E31 D46:E46" xr:uid="{00000000-0002-0000-0200-000001000000}">
      <formula1>0</formula1>
      <formula2>1</formula2>
    </dataValidation>
  </dataValidation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Emilio</dc:creator>
  <cp:keywords/>
  <dc:description/>
  <cp:lastModifiedBy>Nikolay Radoev</cp:lastModifiedBy>
  <cp:revision>9</cp:revision>
  <dcterms:created xsi:type="dcterms:W3CDTF">2006-09-16T00:00:00Z</dcterms:created>
  <dcterms:modified xsi:type="dcterms:W3CDTF">2026-03-05T14:43:35Z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0x010100B41E0342602C49449CD93109DBCAB8C5</vt:lpwstr>
  </property>
  <property fmtid="{D5CDD505-2E9C-101B-9397-08002B2CF9AE}" pid="3" name="HyperlinksChanged">
    <vt:bool>false</vt:bool>
  </property>
  <property fmtid="{D5CDD505-2E9C-101B-9397-08002B2CF9AE}" pid="4" name="LinksUpToDate">
    <vt:bool>false</vt:bool>
  </property>
  <property fmtid="{D5CDD505-2E9C-101B-9397-08002B2CF9AE}" pid="5" name="ScaleCrop">
    <vt:bool>false</vt:bool>
  </property>
  <property fmtid="{D5CDD505-2E9C-101B-9397-08002B2CF9AE}" pid="6" name="ShareDoc">
    <vt:bool>false</vt:bool>
  </property>
</Properties>
</file>